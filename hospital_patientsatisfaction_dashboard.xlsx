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7c181519f068c9/Desktop/Data Analytics Project/HealthCare_PatientSatisfaction_Clean/"/>
    </mc:Choice>
  </mc:AlternateContent>
  <xr:revisionPtr revIDLastSave="1679" documentId="8_{A2EBA869-99EC-462B-A70E-2E4F1256D4B3}" xr6:coauthVersionLast="47" xr6:coauthVersionMax="47" xr10:uidLastSave="{94A2BE45-E878-4DBA-9692-0BE565B03A6F}"/>
  <bookViews>
    <workbookView xWindow="-28920" yWindow="-45" windowWidth="29040" windowHeight="15840" activeTab="4" xr2:uid="{AE26BD10-A661-4AB6-B32D-80F5F1C31D73}"/>
  </bookViews>
  <sheets>
    <sheet name="Department_Reference" sheetId="5" r:id="rId1"/>
    <sheet name="Daily_Staffing_Log" sheetId="4" r:id="rId2"/>
    <sheet name="Patient_Satisfaction_Data" sheetId="2" r:id="rId3"/>
    <sheet name="Dashboard_Calculator" sheetId="10" r:id="rId4"/>
    <sheet name="Dashboard" sheetId="9" r:id="rId5"/>
  </sheets>
  <definedNames>
    <definedName name="_xlcn.WorksheetConnection_hospital_patientsatisfaction_dashboardandclean.xlsxDaily_Staffing_Log1" hidden="1">Daily_Staffing_Log[]</definedName>
    <definedName name="_xlcn.WorksheetConnection_hospital_patientsatisfaction_dashboardandclean.xlsxDept_Reference1" hidden="1">Dept_Reference[]</definedName>
    <definedName name="_xlcn.WorksheetConnection_hospital_patientsatisfaction_dashboardandclean.xlsxEHR_Export1" hidden="1">EHR_Export[]</definedName>
    <definedName name="ExternalData_1" localSheetId="2" hidden="1">Patient_Satisfaction_Data!$A$1:$N$817</definedName>
    <definedName name="ExternalData_2" localSheetId="1" hidden="1">Daily_Staffing_Log!$A$1:$E$1351</definedName>
    <definedName name="ExternalData_3" localSheetId="0" hidden="1">Department_Reference!$A$1:$D$6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HR_Export" name="EHR_Export" connection="WorksheetConnection_hospital_patientsatisfaction_dashboardandclean.xlsx!EHR_Export"/>
          <x15:modelTable id="Dept_Reference" name="Dept_Reference" connection="WorksheetConnection_hospital_patientsatisfaction_dashboardandclean.xlsx!Dept_Reference"/>
          <x15:modelTable id="Daily_Staffing_Log" name="Daily_Staffing_Log" connection="WorksheetConnection_hospital_patientsatisfaction_dashboardandclean.xlsx!Daily_Staffing_Log"/>
        </x15:modelTables>
        <x15:modelRelationships>
          <x15:modelRelationship fromTable="EHR_Export" fromColumn="Department Code" toTable="Dept_Reference" toColumn="Department 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0" l="1"/>
  <c r="B3" i="10"/>
  <c r="F34" i="9" s="1"/>
  <c r="B4" i="10"/>
  <c r="B5" i="10"/>
  <c r="B6" i="10"/>
  <c r="F37" i="9" s="1"/>
  <c r="B2" i="10"/>
  <c r="F2" i="10"/>
  <c r="F3" i="10"/>
  <c r="F5" i="10"/>
  <c r="F6" i="10"/>
  <c r="F4" i="10"/>
  <c r="D34" i="9"/>
  <c r="D35" i="9"/>
  <c r="D36" i="9"/>
  <c r="D37" i="9"/>
  <c r="D33" i="9"/>
  <c r="B12" i="10"/>
  <c r="B10" i="10"/>
  <c r="I3" i="10"/>
  <c r="Y34" i="9" s="1"/>
  <c r="I4" i="10"/>
  <c r="Y35" i="9" s="1"/>
  <c r="I5" i="10"/>
  <c r="Y36" i="9" s="1"/>
  <c r="I6" i="10"/>
  <c r="Y37" i="9" s="1"/>
  <c r="I2" i="10"/>
  <c r="Y33" i="9" s="1"/>
  <c r="G3" i="10"/>
  <c r="S34" i="9" s="1"/>
  <c r="G4" i="10"/>
  <c r="S35" i="9" s="1"/>
  <c r="G5" i="10"/>
  <c r="S36" i="9" s="1"/>
  <c r="G6" i="10"/>
  <c r="S37" i="9" s="1"/>
  <c r="G2" i="10"/>
  <c r="S33" i="9" s="1"/>
  <c r="D3" i="10"/>
  <c r="D4" i="10"/>
  <c r="D5" i="10"/>
  <c r="D6" i="10"/>
  <c r="D2" i="10"/>
  <c r="C3" i="10"/>
  <c r="I34" i="9" s="1"/>
  <c r="C4" i="10"/>
  <c r="I35" i="9" s="1"/>
  <c r="C5" i="10"/>
  <c r="I36" i="9" s="1"/>
  <c r="C6" i="10"/>
  <c r="I37" i="9" s="1"/>
  <c r="C2" i="10"/>
  <c r="I33" i="9" s="1"/>
  <c r="F35" i="9"/>
  <c r="F36" i="9"/>
  <c r="F33" i="9"/>
  <c r="O737" i="2"/>
  <c r="P737" i="2" s="1" a="1"/>
  <c r="O499" i="2"/>
  <c r="P499" i="2" s="1" a="1"/>
  <c r="O426" i="2"/>
  <c r="P426" i="2" s="1" a="1"/>
  <c r="O180" i="2"/>
  <c r="P180" i="2" s="1" a="1"/>
  <c r="O681" i="2"/>
  <c r="P681" i="2" s="1" a="1"/>
  <c r="O793" i="2"/>
  <c r="P793" i="2" s="1" a="1"/>
  <c r="O257" i="2"/>
  <c r="P257" i="2" s="1" a="1"/>
  <c r="O206" i="2"/>
  <c r="P206" i="2" s="1" a="1"/>
  <c r="O459" i="2"/>
  <c r="P459" i="2" s="1" a="1"/>
  <c r="O450" i="2"/>
  <c r="P450" i="2" s="1" a="1"/>
  <c r="O359" i="2"/>
  <c r="P359" i="2" s="1" a="1"/>
  <c r="O360" i="2"/>
  <c r="P360" i="2" s="1" a="1"/>
  <c r="O500" i="2"/>
  <c r="P500" i="2" s="1" a="1"/>
  <c r="O352" i="2"/>
  <c r="P352" i="2" s="1" a="1"/>
  <c r="O196" i="2"/>
  <c r="P196" i="2" s="1" a="1"/>
  <c r="O247" i="2"/>
  <c r="P247" i="2" s="1" a="1"/>
  <c r="O2" i="2"/>
  <c r="O720" i="2"/>
  <c r="P720" i="2" s="1" a="1"/>
  <c r="O521" i="2"/>
  <c r="P521" i="2" s="1" a="1"/>
  <c r="O333" i="2"/>
  <c r="P333" i="2" s="1" a="1"/>
  <c r="O248" i="2"/>
  <c r="P248" i="2" s="1" a="1"/>
  <c r="O653" i="2"/>
  <c r="P653" i="2" s="1" a="1"/>
  <c r="O142" i="2"/>
  <c r="P142" i="2" s="1" a="1"/>
  <c r="O226" i="2"/>
  <c r="P226" i="2" s="1" a="1"/>
  <c r="O410" i="2"/>
  <c r="P410" i="2" s="1" a="1"/>
  <c r="O381" i="2"/>
  <c r="P381" i="2" s="1" a="1"/>
  <c r="O127" i="2"/>
  <c r="P127" i="2" s="1" a="1"/>
  <c r="O794" i="2"/>
  <c r="P794" i="2" s="1" a="1"/>
  <c r="O547" i="2"/>
  <c r="P547" i="2" s="1" a="1"/>
  <c r="O286" i="2"/>
  <c r="P286" i="2" s="1" a="1"/>
  <c r="O688" i="2"/>
  <c r="P688" i="2" s="1" a="1"/>
  <c r="O748" i="2"/>
  <c r="P748" i="2" s="1" a="1"/>
  <c r="O778" i="2"/>
  <c r="P778" i="2" s="1" a="1"/>
  <c r="O467" i="2"/>
  <c r="P467" i="2" s="1" a="1"/>
  <c r="O572" i="2"/>
  <c r="P572" i="2" s="1" a="1"/>
  <c r="O696" i="2"/>
  <c r="P696" i="2" s="1" a="1"/>
  <c r="O808" i="2"/>
  <c r="P808" i="2" s="1" a="1"/>
  <c r="O623" i="2"/>
  <c r="P623" i="2" s="1" a="1"/>
  <c r="O277" i="2"/>
  <c r="P277" i="2" s="1" a="1"/>
  <c r="O312" i="2"/>
  <c r="P312" i="2" s="1" a="1"/>
  <c r="O31" i="2"/>
  <c r="P31" i="2" s="1" a="1"/>
  <c r="O32" i="2"/>
  <c r="P32" i="2" s="1" a="1"/>
  <c r="O79" i="2"/>
  <c r="P79" i="2" s="1" a="1"/>
  <c r="O442" i="2"/>
  <c r="P442" i="2" s="1" a="1"/>
  <c r="O682" i="2"/>
  <c r="P682" i="2" s="1" a="1"/>
  <c r="O305" i="2"/>
  <c r="P305" i="2" s="1" a="1"/>
  <c r="O556" i="2"/>
  <c r="P556" i="2" s="1" a="1"/>
  <c r="O483" i="2"/>
  <c r="P483" i="2" s="1" a="1"/>
  <c r="O3" i="2"/>
  <c r="P3" i="2" s="1" a="1"/>
  <c r="O522" i="2"/>
  <c r="P522" i="2" s="1" a="1"/>
  <c r="O87" i="2"/>
  <c r="P87" i="2" s="1" a="1"/>
  <c r="O802" i="2"/>
  <c r="P802" i="2" s="1" a="1"/>
  <c r="O634" i="2"/>
  <c r="P634" i="2" s="1" a="1"/>
  <c r="O562" i="2"/>
  <c r="P562" i="2" s="1" a="1"/>
  <c r="O207" i="2"/>
  <c r="P207" i="2" s="1" a="1"/>
  <c r="O334" i="2"/>
  <c r="P334" i="2" s="1" a="1"/>
  <c r="O44" i="2"/>
  <c r="P44" i="2" s="1" a="1"/>
  <c r="O674" i="2"/>
  <c r="P674" i="2" s="1" a="1"/>
  <c r="O287" i="2"/>
  <c r="P287" i="2" s="1" a="1"/>
  <c r="O100" i="2"/>
  <c r="P100" i="2" s="1" a="1"/>
  <c r="O427" i="2"/>
  <c r="P427" i="2" s="1" a="1"/>
  <c r="O335" i="2"/>
  <c r="P335" i="2" s="1" a="1"/>
  <c r="O510" i="2"/>
  <c r="P510" i="2" s="1" a="1"/>
  <c r="O809" i="2"/>
  <c r="P809" i="2" s="1" a="1"/>
  <c r="O17" i="2"/>
  <c r="P17" i="2" s="1" a="1"/>
  <c r="O418" i="2"/>
  <c r="P418" i="2" s="1" a="1"/>
  <c r="O663" i="2"/>
  <c r="P663" i="2" s="1" a="1"/>
  <c r="O615" i="2"/>
  <c r="P615" i="2" s="1" a="1"/>
  <c r="O721" i="2"/>
  <c r="P721" i="2" s="1" a="1"/>
  <c r="O557" i="2"/>
  <c r="P557" i="2" s="1" a="1"/>
  <c r="O419" i="2"/>
  <c r="P419" i="2" s="1" a="1"/>
  <c r="O731" i="2"/>
  <c r="P731" i="2" s="1" a="1"/>
  <c r="O150" i="2"/>
  <c r="P150" i="2" s="1" a="1"/>
  <c r="O267" i="2"/>
  <c r="P267" i="2" s="1" a="1"/>
  <c r="O757" i="2"/>
  <c r="P757" i="2" s="1" a="1"/>
  <c r="O345" i="2"/>
  <c r="P345" i="2" s="1" a="1"/>
  <c r="O712" i="2"/>
  <c r="P712" i="2" s="1" a="1"/>
  <c r="O278" i="2"/>
  <c r="P278" i="2" s="1" a="1"/>
  <c r="O187" i="2"/>
  <c r="P187" i="2" s="1" a="1"/>
  <c r="O143" i="2"/>
  <c r="P143" i="2" s="1" a="1"/>
  <c r="O697" i="2"/>
  <c r="P697" i="2" s="1" a="1"/>
  <c r="O227" i="2"/>
  <c r="P227" i="2" s="1" a="1"/>
  <c r="O258" i="2"/>
  <c r="P258" i="2" s="1" a="1"/>
  <c r="O197" i="2"/>
  <c r="P197" i="2" s="1" a="1"/>
  <c r="O810" i="2"/>
  <c r="P810" i="2" s="1" a="1"/>
  <c r="O228" i="2"/>
  <c r="P228" i="2" s="1" a="1"/>
  <c r="O675" i="2"/>
  <c r="P675" i="2" s="1" a="1"/>
  <c r="O325" i="2"/>
  <c r="P325" i="2" s="1" a="1"/>
  <c r="O489" i="2"/>
  <c r="P489" i="2" s="1" a="1"/>
  <c r="O18" i="2"/>
  <c r="P18" i="2" s="1" a="1"/>
  <c r="O370" i="2"/>
  <c r="P370" i="2" s="1" a="1"/>
  <c r="O536" i="2"/>
  <c r="P536" i="2" s="1" a="1"/>
  <c r="O428" i="2"/>
  <c r="P428" i="2" s="1" a="1"/>
  <c r="O306" i="2"/>
  <c r="P306" i="2" s="1" a="1"/>
  <c r="O664" i="2"/>
  <c r="P664" i="2" s="1" a="1"/>
  <c r="O326" i="2"/>
  <c r="P326" i="2" s="1" a="1"/>
  <c r="O237" i="2"/>
  <c r="P237" i="2" s="1" a="1"/>
  <c r="O665" i="2"/>
  <c r="P665" i="2" s="1" a="1"/>
  <c r="O698" i="2"/>
  <c r="P698" i="2" s="1" a="1"/>
  <c r="O451" i="2"/>
  <c r="P451" i="2" s="1" a="1"/>
  <c r="O70" i="2"/>
  <c r="P70" i="2" s="1" a="1"/>
  <c r="O336" i="2"/>
  <c r="P336" i="2" s="1" a="1"/>
  <c r="O268" i="2"/>
  <c r="P268" i="2" s="1" a="1"/>
  <c r="O592" i="2"/>
  <c r="P592" i="2" s="1" a="1"/>
  <c r="O361" i="2"/>
  <c r="P361" i="2" s="1" a="1"/>
  <c r="O65" i="2"/>
  <c r="P65" i="2" s="1" a="1"/>
  <c r="O58" i="2"/>
  <c r="P58" i="2" s="1" a="1"/>
  <c r="O582" i="2"/>
  <c r="P582" i="2" s="1" a="1"/>
  <c r="O88" i="2"/>
  <c r="P88" i="2" s="1" a="1"/>
  <c r="O779" i="2"/>
  <c r="P779" i="2" s="1" a="1"/>
  <c r="O288" i="2"/>
  <c r="P288" i="2" s="1" a="1"/>
  <c r="O249" i="2"/>
  <c r="P249" i="2" s="1" a="1"/>
  <c r="O105" i="2"/>
  <c r="P105" i="2" s="1" a="1"/>
  <c r="O208" i="2"/>
  <c r="P208" i="2" s="1" a="1"/>
  <c r="O401" i="2"/>
  <c r="P401" i="2" s="1" a="1"/>
  <c r="O780" i="2"/>
  <c r="P780" i="2" s="1" a="1"/>
  <c r="O749" i="2"/>
  <c r="P749" i="2" s="1" a="1"/>
  <c r="O327" i="2"/>
  <c r="P327" i="2" s="1" a="1"/>
  <c r="O605" i="2"/>
  <c r="P605" i="2" s="1" a="1"/>
  <c r="O328" i="2"/>
  <c r="P328" i="2" s="1" a="1"/>
  <c r="O269" i="2"/>
  <c r="P269" i="2" s="1" a="1"/>
  <c r="O289" i="2"/>
  <c r="P289" i="2" s="1" a="1"/>
  <c r="O781" i="2"/>
  <c r="P781" i="2" s="1" a="1"/>
  <c r="O33" i="2"/>
  <c r="P33" i="2" s="1" a="1"/>
  <c r="O9" i="2"/>
  <c r="P9" i="2" s="1" a="1"/>
  <c r="O402" i="2"/>
  <c r="P402" i="2" s="1" a="1"/>
  <c r="O307" i="2"/>
  <c r="P307" i="2" s="1" a="1"/>
  <c r="O722" i="2"/>
  <c r="P722" i="2" s="1" a="1"/>
  <c r="O250" i="2"/>
  <c r="P250" i="2" s="1" a="1"/>
  <c r="O616" i="2"/>
  <c r="P616" i="2" s="1" a="1"/>
  <c r="O484" i="2"/>
  <c r="P484" i="2" s="1" a="1"/>
  <c r="O59" i="2"/>
  <c r="P59" i="2" s="1" a="1"/>
  <c r="O89" i="2"/>
  <c r="P89" i="2" s="1" a="1"/>
  <c r="O188" i="2"/>
  <c r="P188" i="2" s="1" a="1"/>
  <c r="O758" i="2"/>
  <c r="P758" i="2" s="1" a="1"/>
  <c r="O732" i="2"/>
  <c r="P732" i="2" s="1" a="1"/>
  <c r="O501" i="2"/>
  <c r="P501" i="2" s="1" a="1"/>
  <c r="O329" i="2"/>
  <c r="P329" i="2" s="1" a="1"/>
  <c r="O460" i="2"/>
  <c r="P460" i="2" s="1" a="1"/>
  <c r="O346" i="2"/>
  <c r="P346" i="2" s="1" a="1"/>
  <c r="O259" i="2"/>
  <c r="P259" i="2" s="1" a="1"/>
  <c r="O66" i="2"/>
  <c r="P66" i="2" s="1" a="1"/>
  <c r="O617" i="2"/>
  <c r="P617" i="2" s="1" a="1"/>
  <c r="O128" i="2"/>
  <c r="P128" i="2" s="1" a="1"/>
  <c r="O390" i="2"/>
  <c r="P390" i="2" s="1" a="1"/>
  <c r="O429" i="2"/>
  <c r="P429" i="2" s="1" a="1"/>
  <c r="O10" i="2"/>
  <c r="P10" i="2" s="1" a="1"/>
  <c r="O548" i="2"/>
  <c r="P548" i="2" s="1" a="1"/>
  <c r="O260" i="2"/>
  <c r="P260" i="2" s="1" a="1"/>
  <c r="O279" i="2"/>
  <c r="P279" i="2" s="1" a="1"/>
  <c r="O161" i="2"/>
  <c r="P161" i="2" s="1" a="1"/>
  <c r="O705" i="2"/>
  <c r="P705" i="2" s="1" a="1"/>
  <c r="O132" i="2"/>
  <c r="P132" i="2" s="1" a="1"/>
  <c r="O280" i="2"/>
  <c r="P280" i="2" s="1" a="1"/>
  <c r="O261" i="2"/>
  <c r="P261" i="2" s="1" a="1"/>
  <c r="O308" i="2"/>
  <c r="P308" i="2" s="1" a="1"/>
  <c r="O430" i="2"/>
  <c r="P430" i="2" s="1" a="1"/>
  <c r="O189" i="2"/>
  <c r="P189" i="2" s="1" a="1"/>
  <c r="O666" i="2"/>
  <c r="P666" i="2" s="1" a="1"/>
  <c r="O262" i="2"/>
  <c r="P262" i="2" s="1" a="1"/>
  <c r="O181" i="2"/>
  <c r="P181" i="2" s="1" a="1"/>
  <c r="O391" i="2"/>
  <c r="P391" i="2" s="1" a="1"/>
  <c r="O80" i="2"/>
  <c r="P80" i="2" s="1" a="1"/>
  <c r="O490" i="2"/>
  <c r="P490" i="2" s="1" a="1"/>
  <c r="O593" i="2"/>
  <c r="P593" i="2" s="1" a="1"/>
  <c r="O733" i="2"/>
  <c r="P733" i="2" s="1" a="1"/>
  <c r="O129" i="2"/>
  <c r="P129" i="2" s="1" a="1"/>
  <c r="O290" i="2"/>
  <c r="P290" i="2" s="1" a="1"/>
  <c r="O549" i="2"/>
  <c r="P549" i="2" s="1" a="1"/>
  <c r="O443" i="2"/>
  <c r="P443" i="2" s="1" a="1"/>
  <c r="O81" i="2"/>
  <c r="P81" i="2" s="1" a="1"/>
  <c r="O90" i="2"/>
  <c r="P90" i="2" s="1" a="1"/>
  <c r="O573" i="2"/>
  <c r="P573" i="2" s="1" a="1"/>
  <c r="O713" i="2"/>
  <c r="P713" i="2" s="1" a="1"/>
  <c r="O353" i="2"/>
  <c r="P353" i="2" s="1" a="1"/>
  <c r="O511" i="2"/>
  <c r="P511" i="2" s="1" a="1"/>
  <c r="O444" i="2"/>
  <c r="P444" i="2" s="1" a="1"/>
  <c r="O82" i="2"/>
  <c r="P82" i="2" s="1" a="1"/>
  <c r="O219" i="2"/>
  <c r="P219" i="2" s="1" a="1"/>
  <c r="O291" i="2"/>
  <c r="P291" i="2" s="1" a="1"/>
  <c r="O803" i="2"/>
  <c r="P803" i="2" s="1" a="1"/>
  <c r="O635" i="2"/>
  <c r="P635" i="2" s="1" a="1"/>
  <c r="O130" i="2"/>
  <c r="P130" i="2" s="1" a="1"/>
  <c r="O667" i="2"/>
  <c r="P667" i="2" s="1" a="1"/>
  <c r="O706" i="2"/>
  <c r="P706" i="2" s="1" a="1"/>
  <c r="O270" i="2"/>
  <c r="P270" i="2" s="1" a="1"/>
  <c r="O52" i="2"/>
  <c r="P52" i="2" s="1" a="1"/>
  <c r="O382" i="2"/>
  <c r="P382" i="2" s="1" a="1"/>
  <c r="O461" i="2"/>
  <c r="P461" i="2" s="1" a="1"/>
  <c r="O594" i="2"/>
  <c r="P594" i="2" s="1" a="1"/>
  <c r="O362" i="2"/>
  <c r="P362" i="2" s="1" a="1"/>
  <c r="O523" i="2"/>
  <c r="P523" i="2" s="1" a="1"/>
  <c r="O643" i="2"/>
  <c r="P643" i="2" s="1" a="1"/>
  <c r="O292" i="2"/>
  <c r="P292" i="2" s="1" a="1"/>
  <c r="O238" i="2"/>
  <c r="P238" i="2" s="1" a="1"/>
  <c r="O668" i="2"/>
  <c r="P668" i="2" s="1" a="1"/>
  <c r="O91" i="2"/>
  <c r="P91" i="2" s="1" a="1"/>
  <c r="O363" i="2"/>
  <c r="P363" i="2" s="1" a="1"/>
  <c r="O485" i="2"/>
  <c r="P485" i="2" s="1" a="1"/>
  <c r="O354" i="2"/>
  <c r="P354" i="2" s="1" a="1"/>
  <c r="O251" i="2"/>
  <c r="P251" i="2" s="1" a="1"/>
  <c r="O462" i="2"/>
  <c r="P462" i="2" s="1" a="1"/>
  <c r="O118" i="2"/>
  <c r="P118" i="2" s="1" a="1"/>
  <c r="O452" i="2"/>
  <c r="P452" i="2" s="1" a="1"/>
  <c r="O34" i="2"/>
  <c r="P34" i="2" s="1" a="1"/>
  <c r="O11" i="2"/>
  <c r="P11" i="2" s="1" a="1"/>
  <c r="O669" i="2"/>
  <c r="P669" i="2" s="1" a="1"/>
  <c r="O583" i="2"/>
  <c r="P583" i="2" s="1" a="1"/>
  <c r="O173" i="2"/>
  <c r="P173" i="2" s="1" a="1"/>
  <c r="O606" i="2"/>
  <c r="P606" i="2" s="1" a="1"/>
  <c r="O182" i="2"/>
  <c r="P182" i="2" s="1" a="1"/>
  <c r="O35" i="2"/>
  <c r="P35" i="2" s="1" a="1"/>
  <c r="O131" i="2"/>
  <c r="P131" i="2" s="1" a="1"/>
  <c r="O689" i="2"/>
  <c r="P689" i="2" s="1" a="1"/>
  <c r="O584" i="2"/>
  <c r="P584" i="2" s="1" a="1"/>
  <c r="O636" i="2"/>
  <c r="P636" i="2" s="1" a="1"/>
  <c r="O431" i="2"/>
  <c r="P431" i="2" s="1" a="1"/>
  <c r="O683" i="2"/>
  <c r="P683" i="2" s="1" a="1"/>
  <c r="O537" i="2"/>
  <c r="P537" i="2" s="1" a="1"/>
  <c r="O45" i="2"/>
  <c r="P45" i="2" s="1" a="1"/>
  <c r="O183" i="2"/>
  <c r="P183" i="2" s="1" a="1"/>
  <c r="O133" i="2"/>
  <c r="P133" i="2" s="1" a="1"/>
  <c r="O174" i="2"/>
  <c r="P174" i="2" s="1" a="1"/>
  <c r="O563" i="2"/>
  <c r="P563" i="2" s="1" a="1"/>
  <c r="O524" i="2"/>
  <c r="P524" i="2" s="1" a="1"/>
  <c r="O175" i="2"/>
  <c r="P175" i="2" s="1" a="1"/>
  <c r="O502" i="2"/>
  <c r="P502" i="2" s="1" a="1"/>
  <c r="O119" i="2"/>
  <c r="P119" i="2" s="1" a="1"/>
  <c r="O297" i="2"/>
  <c r="P297" i="2" s="1" a="1"/>
  <c r="O804" i="2"/>
  <c r="P804" i="2" s="1" a="1"/>
  <c r="O699" i="2"/>
  <c r="P699" i="2" s="1" a="1"/>
  <c r="O750" i="2"/>
  <c r="P750" i="2" s="1" a="1"/>
  <c r="O190" i="2"/>
  <c r="P190" i="2" s="1" a="1"/>
  <c r="O472" i="2"/>
  <c r="P472" i="2" s="1" a="1"/>
  <c r="O723" i="2"/>
  <c r="P723" i="2" s="1" a="1"/>
  <c r="O525" i="2"/>
  <c r="P525" i="2" s="1" a="1"/>
  <c r="O624" i="2"/>
  <c r="P624" i="2" s="1" a="1"/>
  <c r="O473" i="2"/>
  <c r="P473" i="2" s="1" a="1"/>
  <c r="O463" i="2"/>
  <c r="P463" i="2" s="1" a="1"/>
  <c r="O625" i="2"/>
  <c r="P625" i="2" s="1" a="1"/>
  <c r="O432" i="2"/>
  <c r="P432" i="2" s="1" a="1"/>
  <c r="O654" i="2"/>
  <c r="P654" i="2" s="1" a="1"/>
  <c r="O151" i="2"/>
  <c r="P151" i="2" s="1" a="1"/>
  <c r="O19" i="2"/>
  <c r="P19" i="2" s="1" a="1"/>
  <c r="O805" i="2"/>
  <c r="P805" i="2" s="1" a="1"/>
  <c r="O191" i="2"/>
  <c r="P191" i="2" s="1" a="1"/>
  <c r="O92" i="2"/>
  <c r="P92" i="2" s="1" a="1"/>
  <c r="O293" i="2"/>
  <c r="P293" i="2" s="1" a="1"/>
  <c r="O618" i="2"/>
  <c r="P618" i="2" s="1" a="1"/>
  <c r="O106" i="2"/>
  <c r="P106" i="2" s="1" a="1"/>
  <c r="O83" i="2"/>
  <c r="P83" i="2" s="1" a="1"/>
  <c r="O670" i="2"/>
  <c r="P670" i="2" s="1" a="1"/>
  <c r="O655" i="2"/>
  <c r="P655" i="2" s="1" a="1"/>
  <c r="O209" i="2"/>
  <c r="P209" i="2" s="1" a="1"/>
  <c r="O176" i="2"/>
  <c r="P176" i="2" s="1" a="1"/>
  <c r="O392" i="2"/>
  <c r="P392" i="2" s="1" a="1"/>
  <c r="O738" i="2"/>
  <c r="P738" i="2" s="1" a="1"/>
  <c r="O393" i="2"/>
  <c r="P393" i="2" s="1" a="1"/>
  <c r="O330" i="2"/>
  <c r="P330" i="2" s="1" a="1"/>
  <c r="O107" i="2"/>
  <c r="P107" i="2" s="1" a="1"/>
  <c r="O811" i="2"/>
  <c r="P811" i="2" s="1" a="1"/>
  <c r="O595" i="2"/>
  <c r="P595" i="2" s="1" a="1"/>
  <c r="O474" i="2"/>
  <c r="P474" i="2" s="1" a="1"/>
  <c r="O20" i="2"/>
  <c r="P20" i="2" s="1" a="1"/>
  <c r="O676" i="2"/>
  <c r="P676" i="2" s="1" a="1"/>
  <c r="O46" i="2"/>
  <c r="P46" i="2" s="1" a="1"/>
  <c r="O371" i="2"/>
  <c r="P371" i="2" s="1" a="1"/>
  <c r="O558" i="2"/>
  <c r="P558" i="2" s="1" a="1"/>
  <c r="O271" i="2"/>
  <c r="P271" i="2" s="1" a="1"/>
  <c r="O445" i="2"/>
  <c r="P445" i="2" s="1" a="1"/>
  <c r="O782" i="2"/>
  <c r="P782" i="2" s="1" a="1"/>
  <c r="O12" i="2"/>
  <c r="P12" i="2" s="1" a="1"/>
  <c r="O437" i="2"/>
  <c r="P437" i="2" s="1" a="1"/>
  <c r="O734" i="2"/>
  <c r="P734" i="2" s="1" a="1"/>
  <c r="O134" i="2"/>
  <c r="P134" i="2" s="1" a="1"/>
  <c r="O298" i="2"/>
  <c r="P298" i="2" s="1" a="1"/>
  <c r="O21" i="2"/>
  <c r="P21" i="2" s="1" a="1"/>
  <c r="O585" i="2"/>
  <c r="P585" i="2" s="1" a="1"/>
  <c r="O60" i="2"/>
  <c r="O272" i="2"/>
  <c r="O383" i="2"/>
  <c r="O550" i="2"/>
  <c r="O626" i="2"/>
  <c r="O512" i="2"/>
  <c r="O644" i="2"/>
  <c r="O337" i="2"/>
  <c r="O700" i="2"/>
  <c r="O645" i="2"/>
  <c r="O93" i="2"/>
  <c r="O503" i="2"/>
  <c r="O596" i="2"/>
  <c r="O739" i="2"/>
  <c r="O740" i="2"/>
  <c r="O210" i="2"/>
  <c r="O364" i="2"/>
  <c r="O795" i="2"/>
  <c r="O36" i="2"/>
  <c r="O152" i="2"/>
  <c r="P152" i="2" s="1" a="1"/>
  <c r="O299" i="2"/>
  <c r="O239" i="2"/>
  <c r="O724" i="2"/>
  <c r="O411" i="2"/>
  <c r="O526" i="2"/>
  <c r="O725" i="2"/>
  <c r="O153" i="2"/>
  <c r="O677" i="2"/>
  <c r="O240" i="2"/>
  <c r="O300" i="2"/>
  <c r="O684" i="2"/>
  <c r="O53" i="2"/>
  <c r="O338" i="2"/>
  <c r="O796" i="2"/>
  <c r="O252" i="2"/>
  <c r="O783" i="2"/>
  <c r="O384" i="2"/>
  <c r="O538" i="2"/>
  <c r="O769" i="2"/>
  <c r="O597" i="2"/>
  <c r="O13" i="2"/>
  <c r="O564" i="2"/>
  <c r="O527" i="2"/>
  <c r="O37" i="2"/>
  <c r="O797" i="2"/>
  <c r="O714" i="2"/>
  <c r="O162" i="2"/>
  <c r="O94" i="2"/>
  <c r="O372" i="2"/>
  <c r="O241" i="2"/>
  <c r="O812" i="2"/>
  <c r="O22" i="2"/>
  <c r="O741" i="2"/>
  <c r="O412" i="2"/>
  <c r="O504" i="2"/>
  <c r="O464" i="2"/>
  <c r="O627" i="2"/>
  <c r="O373" i="2"/>
  <c r="O220" i="2"/>
  <c r="O528" i="2"/>
  <c r="O433" i="2"/>
  <c r="O154" i="2"/>
  <c r="O574" i="2"/>
  <c r="O365" i="2"/>
  <c r="O71" i="2"/>
  <c r="O331" i="2"/>
  <c r="O4" i="2"/>
  <c r="O347" i="2"/>
  <c r="O135" i="2"/>
  <c r="O339" i="2"/>
  <c r="O355" i="2"/>
  <c r="O813" i="2"/>
  <c r="O784" i="2"/>
  <c r="O586" i="2"/>
  <c r="O263" i="2"/>
  <c r="O491" i="2"/>
  <c r="O446" i="2"/>
  <c r="O587" i="2"/>
  <c r="O84" i="2"/>
  <c r="O374" i="2"/>
  <c r="O120" i="2"/>
  <c r="O394" i="2"/>
  <c r="O163" i="2"/>
  <c r="O751" i="2"/>
  <c r="O348" i="2"/>
  <c r="O785" i="2"/>
  <c r="O95" i="2"/>
  <c r="O770" i="2"/>
  <c r="O113" i="2"/>
  <c r="O637" i="2"/>
  <c r="O628" i="2"/>
  <c r="O646" i="2"/>
  <c r="O656" i="2"/>
  <c r="O155" i="2"/>
  <c r="O598" i="2"/>
  <c r="O539" i="2"/>
  <c r="O486" i="2"/>
  <c r="O273" i="2"/>
  <c r="O551" i="2"/>
  <c r="O475" i="2"/>
  <c r="O786" i="2"/>
  <c r="O114" i="2"/>
  <c r="O85" i="2"/>
  <c r="O301" i="2"/>
  <c r="O678" i="2"/>
  <c r="O242" i="2"/>
  <c r="O413" i="2"/>
  <c r="O340" i="2"/>
  <c r="O726" i="2"/>
  <c r="O420" i="2"/>
  <c r="O164" i="2"/>
  <c r="O453" i="2"/>
  <c r="O798" i="2"/>
  <c r="O229" i="2"/>
  <c r="O349" i="2"/>
  <c r="O230" i="2"/>
  <c r="O319" i="2"/>
  <c r="O350" i="2"/>
  <c r="O476" i="2"/>
  <c r="O690" i="2"/>
  <c r="O638" i="2"/>
  <c r="O366" i="2"/>
  <c r="O221" i="2"/>
  <c r="O465" i="2"/>
  <c r="O23" i="2"/>
  <c r="O787" i="2"/>
  <c r="O96" i="2"/>
  <c r="O814" i="2"/>
  <c r="O184" i="2"/>
  <c r="O385" i="2"/>
  <c r="O231" i="2"/>
  <c r="O513" i="2"/>
  <c r="O565" i="2"/>
  <c r="O101" i="2"/>
  <c r="O799" i="2"/>
  <c r="O588" i="2"/>
  <c r="O309" i="2"/>
  <c r="O735" i="2"/>
  <c r="O566" i="2"/>
  <c r="O97" i="2"/>
  <c r="O599" i="2"/>
  <c r="O567" i="2"/>
  <c r="O647" i="2"/>
  <c r="O540" i="2"/>
  <c r="O752" i="2"/>
  <c r="O468" i="2"/>
  <c r="O156" i="2"/>
  <c r="O222" i="2"/>
  <c r="O294" i="2"/>
  <c r="O454" i="2"/>
  <c r="O759" i="2"/>
  <c r="O575" i="2"/>
  <c r="O38" i="2"/>
  <c r="O136" i="2"/>
  <c r="O607" i="2"/>
  <c r="O72" i="2"/>
  <c r="O715" i="2"/>
  <c r="O568" i="2"/>
  <c r="O395" i="2"/>
  <c r="O332" i="2"/>
  <c r="O727" i="2"/>
  <c r="O375" i="2"/>
  <c r="O253" i="2"/>
  <c r="O589" i="2"/>
  <c r="O341" i="2"/>
  <c r="O121" i="2"/>
  <c r="O421" i="2"/>
  <c r="O5" i="2"/>
  <c r="O691" i="2"/>
  <c r="O320" i="2"/>
  <c r="O396" i="2"/>
  <c r="O310" i="2"/>
  <c r="O692" i="2"/>
  <c r="O541" i="2"/>
  <c r="O397" i="2"/>
  <c r="O639" i="2"/>
  <c r="O414" i="2"/>
  <c r="O552" i="2"/>
  <c r="O232" i="2"/>
  <c r="O302" i="2"/>
  <c r="O367" i="2"/>
  <c r="O137" i="2"/>
  <c r="O6" i="2"/>
  <c r="O295" i="2"/>
  <c r="O376" i="2"/>
  <c r="O629" i="2"/>
  <c r="O198" i="2"/>
  <c r="O377" i="2"/>
  <c r="O434" i="2"/>
  <c r="O223" i="2"/>
  <c r="O403" i="2"/>
  <c r="O559" i="2"/>
  <c r="O404" i="2"/>
  <c r="O514" i="2"/>
  <c r="O415" i="2"/>
  <c r="O685" i="2"/>
  <c r="O477" i="2"/>
  <c r="O47" i="2"/>
  <c r="O469" i="2"/>
  <c r="O470" i="2"/>
  <c r="O102" i="2"/>
  <c r="O378" i="2"/>
  <c r="O342" i="2"/>
  <c r="O138" i="2"/>
  <c r="O505" i="2"/>
  <c r="O368" i="2"/>
  <c r="O728" i="2"/>
  <c r="O115" i="2"/>
  <c r="O515" i="2"/>
  <c r="O211" i="2"/>
  <c r="O492" i="2"/>
  <c r="O165" i="2"/>
  <c r="O590" i="2"/>
  <c r="O369" i="2"/>
  <c r="O24" i="2"/>
  <c r="P24" i="2" s="1" a="1"/>
  <c r="O416" i="2"/>
  <c r="O39" i="2"/>
  <c r="O192" i="2"/>
  <c r="O553" i="2"/>
  <c r="O103" i="2"/>
  <c r="O560" i="2"/>
  <c r="O516" i="2"/>
  <c r="O264" i="2"/>
  <c r="O447" i="2"/>
  <c r="O98" i="2"/>
  <c r="O671" i="2"/>
  <c r="O157" i="2"/>
  <c r="O122" i="2"/>
  <c r="O455" i="2"/>
  <c r="O657" i="2"/>
  <c r="O815" i="2"/>
  <c r="O542" i="2"/>
  <c r="O166" i="2"/>
  <c r="O73" i="2"/>
  <c r="O104" i="2"/>
  <c r="O199" i="2"/>
  <c r="O456" i="2"/>
  <c r="O193" i="2"/>
  <c r="O576" i="2"/>
  <c r="O123" i="2"/>
  <c r="O243" i="2"/>
  <c r="O577" i="2"/>
  <c r="O296" i="2"/>
  <c r="O760" i="2"/>
  <c r="O40" i="2"/>
  <c r="O167" i="2"/>
  <c r="O438" i="2"/>
  <c r="O124" i="2"/>
  <c r="O144" i="2"/>
  <c r="O168" i="2"/>
  <c r="O640" i="2"/>
  <c r="O177" i="2"/>
  <c r="O212" i="2"/>
  <c r="O145" i="2"/>
  <c r="O529" i="2"/>
  <c r="O761" i="2"/>
  <c r="O313" i="2"/>
  <c r="O506" i="2"/>
  <c r="O48" i="2"/>
  <c r="O108" i="2"/>
  <c r="O507" i="2"/>
  <c r="O169" i="2"/>
  <c r="O806" i="2"/>
  <c r="O686" i="2"/>
  <c r="O569" i="2"/>
  <c r="O701" i="2"/>
  <c r="O422" i="2"/>
  <c r="O707" i="2"/>
  <c r="O708" i="2"/>
  <c r="O478" i="2"/>
  <c r="O14" i="2"/>
  <c r="O753" i="2"/>
  <c r="O274" i="2"/>
  <c r="O709" i="2"/>
  <c r="O417" i="2"/>
  <c r="O619" i="2"/>
  <c r="O543" i="2"/>
  <c r="O544" i="2"/>
  <c r="O7" i="2"/>
  <c r="O716" i="2"/>
  <c r="O275" i="2"/>
  <c r="O800" i="2"/>
  <c r="O600" i="2"/>
  <c r="O321" i="2"/>
  <c r="O762" i="2"/>
  <c r="O356" i="2"/>
  <c r="O641" i="2"/>
  <c r="O578" i="2"/>
  <c r="O311" i="2"/>
  <c r="P311" i="2" s="1" a="1"/>
  <c r="O620" i="2"/>
  <c r="O763" i="2"/>
  <c r="O281" i="2"/>
  <c r="O99" i="2"/>
  <c r="O200" i="2"/>
  <c r="O314" i="2"/>
  <c r="O398" i="2"/>
  <c r="O224" i="2"/>
  <c r="O139" i="2"/>
  <c r="O493" i="2"/>
  <c r="O322" i="2"/>
  <c r="O517" i="2"/>
  <c r="O170" i="2"/>
  <c r="O788" i="2"/>
  <c r="O41" i="2"/>
  <c r="O530" i="2"/>
  <c r="O254" i="2"/>
  <c r="O125" i="2"/>
  <c r="O764" i="2"/>
  <c r="O545" i="2"/>
  <c r="O244" i="2"/>
  <c r="O201" i="2"/>
  <c r="O561" i="2"/>
  <c r="O282" i="2"/>
  <c r="O531" i="2"/>
  <c r="O494" i="2"/>
  <c r="O495" i="2"/>
  <c r="O54" i="2"/>
  <c r="O608" i="2"/>
  <c r="O386" i="2"/>
  <c r="O25" i="2"/>
  <c r="O55" i="2"/>
  <c r="O387" i="2"/>
  <c r="O554" i="2"/>
  <c r="O457" i="2"/>
  <c r="O648" i="2"/>
  <c r="O146" i="2"/>
  <c r="O74" i="2"/>
  <c r="O323" i="2"/>
  <c r="O213" i="2"/>
  <c r="O405" i="2"/>
  <c r="O717" i="2"/>
  <c r="O276" i="2"/>
  <c r="O630" i="2"/>
  <c r="O471" i="2"/>
  <c r="O649" i="2"/>
  <c r="O42" i="2"/>
  <c r="O255" i="2"/>
  <c r="O742" i="2"/>
  <c r="P742" i="2" s="1" a="1"/>
  <c r="O140" i="2"/>
  <c r="O789" i="2"/>
  <c r="O379" i="2"/>
  <c r="O508" i="2"/>
  <c r="O771" i="2"/>
  <c r="O658" i="2"/>
  <c r="O801" i="2"/>
  <c r="O380" i="2"/>
  <c r="O315" i="2"/>
  <c r="O178" i="2"/>
  <c r="O245" i="2"/>
  <c r="O807" i="2"/>
  <c r="O283" i="2"/>
  <c r="O439" i="2"/>
  <c r="O509" i="2"/>
  <c r="O659" i="2"/>
  <c r="O265" i="2"/>
  <c r="O702" i="2"/>
  <c r="O357" i="2"/>
  <c r="O772" i="2"/>
  <c r="O601" i="2"/>
  <c r="P601" i="2" s="1" a="1"/>
  <c r="O406" i="2"/>
  <c r="O351" i="2"/>
  <c r="O729" i="2"/>
  <c r="O43" i="2"/>
  <c r="O171" i="2"/>
  <c r="O621" i="2"/>
  <c r="O67" i="2"/>
  <c r="O440" i="2"/>
  <c r="O765" i="2"/>
  <c r="O487" i="2"/>
  <c r="O650" i="2"/>
  <c r="O660" i="2"/>
  <c r="O233" i="2"/>
  <c r="O194" i="2"/>
  <c r="O316" i="2"/>
  <c r="O61" i="2"/>
  <c r="O441" i="2"/>
  <c r="O234" i="2"/>
  <c r="P234" i="2" s="1" a="1"/>
  <c r="O773" i="2"/>
  <c r="O147" i="2"/>
  <c r="O479" i="2"/>
  <c r="O49" i="2"/>
  <c r="O448" i="2"/>
  <c r="O679" i="2"/>
  <c r="O214" i="2"/>
  <c r="O651" i="2"/>
  <c r="O496" i="2"/>
  <c r="O743" i="2"/>
  <c r="O774" i="2"/>
  <c r="O343" i="2"/>
  <c r="O672" i="2"/>
  <c r="O388" i="2"/>
  <c r="O75" i="2"/>
  <c r="O324" i="2"/>
  <c r="O652" i="2"/>
  <c r="O317" i="2"/>
  <c r="O195" i="2"/>
  <c r="O172" i="2"/>
  <c r="O466" i="2"/>
  <c r="O407" i="2"/>
  <c r="O673" i="2"/>
  <c r="O202" i="2"/>
  <c r="O518" i="2"/>
  <c r="O215" i="2"/>
  <c r="O216" i="2"/>
  <c r="O62" i="2"/>
  <c r="O519" i="2"/>
  <c r="O235" i="2"/>
  <c r="O736" i="2"/>
  <c r="O399" i="2"/>
  <c r="O497" i="2"/>
  <c r="O532" i="2"/>
  <c r="O602" i="2"/>
  <c r="O533" i="2"/>
  <c r="O423" i="2"/>
  <c r="O609" i="2"/>
  <c r="O26" i="2"/>
  <c r="O225" i="2"/>
  <c r="O203" i="2"/>
  <c r="O579" i="2"/>
  <c r="O488" i="2"/>
  <c r="O610" i="2"/>
  <c r="O424" i="2"/>
  <c r="O603" i="2"/>
  <c r="O109" i="2"/>
  <c r="O15" i="2"/>
  <c r="O449" i="2"/>
  <c r="O110" i="2"/>
  <c r="O611" i="2"/>
  <c r="O816" i="2"/>
  <c r="O766" i="2"/>
  <c r="O284" i="2"/>
  <c r="O754" i="2"/>
  <c r="O604" i="2"/>
  <c r="O790" i="2"/>
  <c r="O631" i="2"/>
  <c r="O534" i="2"/>
  <c r="O435" i="2"/>
  <c r="O204" i="2"/>
  <c r="O246" i="2"/>
  <c r="O546" i="2"/>
  <c r="O217" i="2"/>
  <c r="O68" i="2"/>
  <c r="O703" i="2"/>
  <c r="O111" i="2"/>
  <c r="O303" i="2"/>
  <c r="O622" i="2"/>
  <c r="O304" i="2"/>
  <c r="O76" i="2"/>
  <c r="O591" i="2"/>
  <c r="O185" i="2"/>
  <c r="O755" i="2"/>
  <c r="O756" i="2"/>
  <c r="O775" i="2"/>
  <c r="O27" i="2"/>
  <c r="O744" i="2"/>
  <c r="O158" i="2"/>
  <c r="P158" i="2" s="1" a="1"/>
  <c r="O236" i="2"/>
  <c r="O498" i="2"/>
  <c r="O480" i="2"/>
  <c r="O481" i="2"/>
  <c r="O730" i="2"/>
  <c r="O776" i="2"/>
  <c r="O179" i="2"/>
  <c r="O400" i="2"/>
  <c r="O520" i="2"/>
  <c r="O632" i="2"/>
  <c r="O612" i="2"/>
  <c r="P612" i="2" s="1" a="1"/>
  <c r="O408" i="2"/>
  <c r="P408" i="2" s="1" a="1"/>
  <c r="O28" i="2"/>
  <c r="P28" i="2" s="1" a="1"/>
  <c r="O256" i="2"/>
  <c r="P256" i="2" s="1" a="1"/>
  <c r="O745" i="2"/>
  <c r="P745" i="2" s="1" a="1"/>
  <c r="O358" i="2"/>
  <c r="O570" i="2"/>
  <c r="O580" i="2"/>
  <c r="O318" i="2"/>
  <c r="O69" i="2"/>
  <c r="O425" i="2"/>
  <c r="O409" i="2"/>
  <c r="O613" i="2"/>
  <c r="O458" i="2"/>
  <c r="O718" i="2"/>
  <c r="O777" i="2"/>
  <c r="O704" i="2"/>
  <c r="O126" i="2"/>
  <c r="O719" i="2"/>
  <c r="O581" i="2"/>
  <c r="O817" i="2"/>
  <c r="O693" i="2"/>
  <c r="O791" i="2"/>
  <c r="O482" i="2"/>
  <c r="O285" i="2"/>
  <c r="O571" i="2"/>
  <c r="O746" i="2"/>
  <c r="O218" i="2"/>
  <c r="O141" i="2"/>
  <c r="O63" i="2"/>
  <c r="O687" i="2"/>
  <c r="P687" i="2" s="1" a="1"/>
  <c r="O747" i="2"/>
  <c r="O159" i="2"/>
  <c r="O389" i="2"/>
  <c r="O661" i="2"/>
  <c r="O50" i="2"/>
  <c r="O112" i="2"/>
  <c r="O642" i="2"/>
  <c r="O186" i="2"/>
  <c r="O205" i="2"/>
  <c r="O344" i="2"/>
  <c r="O56" i="2"/>
  <c r="O436" i="2"/>
  <c r="O51" i="2"/>
  <c r="O86" i="2"/>
  <c r="O160" i="2"/>
  <c r="O535" i="2"/>
  <c r="O16" i="2"/>
  <c r="O8" i="2"/>
  <c r="O694" i="2"/>
  <c r="O767" i="2"/>
  <c r="O614" i="2"/>
  <c r="P614" i="2" s="1" a="1"/>
  <c r="O29" i="2"/>
  <c r="O633" i="2"/>
  <c r="O30" i="2"/>
  <c r="O662" i="2"/>
  <c r="O64" i="2"/>
  <c r="O680" i="2"/>
  <c r="O148" i="2"/>
  <c r="O116" i="2"/>
  <c r="O792" i="2"/>
  <c r="O768" i="2"/>
  <c r="O77" i="2"/>
  <c r="O710" i="2"/>
  <c r="O711" i="2"/>
  <c r="O555" i="2"/>
  <c r="O149" i="2"/>
  <c r="O57" i="2"/>
  <c r="O117" i="2"/>
  <c r="O695" i="2"/>
  <c r="O266" i="2"/>
  <c r="O78" i="2"/>
  <c r="P60" i="2" a="1"/>
  <c r="P272" i="2" a="1"/>
  <c r="P383" i="2" a="1"/>
  <c r="P550" i="2" a="1"/>
  <c r="P626" i="2" a="1"/>
  <c r="P512" i="2" a="1"/>
  <c r="P644" i="2" a="1"/>
  <c r="P337" i="2" a="1"/>
  <c r="P700" i="2" a="1"/>
  <c r="P645" i="2" a="1"/>
  <c r="P93" i="2" a="1"/>
  <c r="P503" i="2" a="1"/>
  <c r="P596" i="2" a="1"/>
  <c r="P739" i="2" a="1"/>
  <c r="P740" i="2" a="1"/>
  <c r="P210" i="2" a="1"/>
  <c r="P364" i="2" a="1"/>
  <c r="P795" i="2" a="1"/>
  <c r="P36" i="2" a="1"/>
  <c r="P299" i="2" a="1"/>
  <c r="P239" i="2" a="1"/>
  <c r="P724" i="2" a="1"/>
  <c r="P411" i="2" a="1"/>
  <c r="P526" i="2" a="1"/>
  <c r="P725" i="2" a="1"/>
  <c r="P153" i="2" a="1"/>
  <c r="P677" i="2" a="1"/>
  <c r="P240" i="2" a="1"/>
  <c r="P300" i="2" a="1"/>
  <c r="P684" i="2" a="1"/>
  <c r="P53" i="2" a="1"/>
  <c r="P338" i="2" a="1"/>
  <c r="P796" i="2" a="1"/>
  <c r="P252" i="2" a="1"/>
  <c r="P783" i="2" a="1"/>
  <c r="P384" i="2" a="1"/>
  <c r="P538" i="2" a="1"/>
  <c r="P769" i="2" a="1"/>
  <c r="P597" i="2" a="1"/>
  <c r="P13" i="2" a="1"/>
  <c r="P564" i="2" a="1"/>
  <c r="P527" i="2" a="1"/>
  <c r="P37" i="2" a="1"/>
  <c r="P797" i="2" a="1"/>
  <c r="P714" i="2" a="1"/>
  <c r="P162" i="2" a="1"/>
  <c r="P94" i="2" a="1"/>
  <c r="P372" i="2" a="1"/>
  <c r="P241" i="2" a="1"/>
  <c r="P812" i="2" a="1"/>
  <c r="P22" i="2" a="1"/>
  <c r="P741" i="2" a="1"/>
  <c r="P412" i="2" a="1"/>
  <c r="P504" i="2" a="1"/>
  <c r="P464" i="2" a="1"/>
  <c r="P627" i="2" a="1"/>
  <c r="P373" i="2" a="1"/>
  <c r="P220" i="2" a="1"/>
  <c r="P528" i="2" a="1"/>
  <c r="P433" i="2" a="1"/>
  <c r="P154" i="2" a="1"/>
  <c r="P574" i="2" a="1"/>
  <c r="P365" i="2" a="1"/>
  <c r="P71" i="2" a="1"/>
  <c r="P331" i="2" a="1"/>
  <c r="P4" i="2" a="1"/>
  <c r="P347" i="2" a="1"/>
  <c r="P135" i="2" a="1"/>
  <c r="P339" i="2" a="1"/>
  <c r="P355" i="2" a="1"/>
  <c r="P813" i="2" a="1"/>
  <c r="P784" i="2" a="1"/>
  <c r="P586" i="2" a="1"/>
  <c r="P263" i="2" a="1"/>
  <c r="P491" i="2" a="1"/>
  <c r="P446" i="2" a="1"/>
  <c r="P587" i="2" a="1"/>
  <c r="P84" i="2" a="1"/>
  <c r="P374" i="2" a="1"/>
  <c r="P120" i="2" a="1"/>
  <c r="P394" i="2" a="1"/>
  <c r="P163" i="2" a="1"/>
  <c r="P751" i="2" a="1"/>
  <c r="P348" i="2" a="1"/>
  <c r="P785" i="2" a="1"/>
  <c r="P95" i="2" a="1"/>
  <c r="P770" i="2" a="1"/>
  <c r="P113" i="2" a="1"/>
  <c r="P637" i="2" a="1"/>
  <c r="P628" i="2" a="1"/>
  <c r="P646" i="2" a="1"/>
  <c r="P656" i="2" a="1"/>
  <c r="P155" i="2" a="1"/>
  <c r="P598" i="2" a="1"/>
  <c r="P539" i="2" a="1"/>
  <c r="P486" i="2" a="1"/>
  <c r="P273" i="2" a="1"/>
  <c r="P551" i="2" a="1"/>
  <c r="P475" i="2" a="1"/>
  <c r="P786" i="2" a="1"/>
  <c r="P114" i="2" a="1"/>
  <c r="P85" i="2" a="1"/>
  <c r="P301" i="2" a="1"/>
  <c r="P678" i="2" a="1"/>
  <c r="P242" i="2" a="1"/>
  <c r="P413" i="2" a="1"/>
  <c r="P340" i="2" a="1"/>
  <c r="P726" i="2" a="1"/>
  <c r="P420" i="2" a="1"/>
  <c r="P164" i="2" a="1"/>
  <c r="P453" i="2" a="1"/>
  <c r="P798" i="2" a="1"/>
  <c r="P229" i="2" a="1"/>
  <c r="P349" i="2" a="1"/>
  <c r="P230" i="2" a="1"/>
  <c r="P319" i="2" a="1"/>
  <c r="P350" i="2" a="1"/>
  <c r="P476" i="2" a="1"/>
  <c r="P690" i="2" a="1"/>
  <c r="P638" i="2" a="1"/>
  <c r="P366" i="2" a="1"/>
  <c r="P221" i="2" a="1"/>
  <c r="P465" i="2" a="1"/>
  <c r="P23" i="2" a="1"/>
  <c r="P787" i="2" a="1"/>
  <c r="P96" i="2" a="1"/>
  <c r="P814" i="2" a="1"/>
  <c r="P184" i="2" a="1"/>
  <c r="P385" i="2" a="1"/>
  <c r="P231" i="2" a="1"/>
  <c r="P513" i="2" a="1"/>
  <c r="P565" i="2" a="1"/>
  <c r="P101" i="2" a="1"/>
  <c r="P799" i="2" a="1"/>
  <c r="P588" i="2" a="1"/>
  <c r="P309" i="2" a="1"/>
  <c r="P735" i="2" a="1"/>
  <c r="P566" i="2" a="1"/>
  <c r="P97" i="2" a="1"/>
  <c r="P599" i="2" a="1"/>
  <c r="P567" i="2" a="1"/>
  <c r="P647" i="2" a="1"/>
  <c r="P540" i="2" a="1"/>
  <c r="P752" i="2" a="1"/>
  <c r="P468" i="2" a="1"/>
  <c r="P156" i="2" a="1"/>
  <c r="P222" i="2" a="1"/>
  <c r="P294" i="2" a="1"/>
  <c r="P454" i="2" a="1"/>
  <c r="P759" i="2" a="1"/>
  <c r="P575" i="2" a="1"/>
  <c r="P38" i="2" a="1"/>
  <c r="P136" i="2" a="1"/>
  <c r="P607" i="2" a="1"/>
  <c r="P72" i="2" a="1"/>
  <c r="P715" i="2" a="1"/>
  <c r="P568" i="2" a="1"/>
  <c r="P395" i="2" a="1"/>
  <c r="P332" i="2" a="1"/>
  <c r="P727" i="2" a="1"/>
  <c r="P375" i="2" a="1"/>
  <c r="P253" i="2" a="1"/>
  <c r="P589" i="2" a="1"/>
  <c r="P341" i="2" a="1"/>
  <c r="P121" i="2" a="1"/>
  <c r="P421" i="2" a="1"/>
  <c r="P5" i="2" a="1"/>
  <c r="P691" i="2" a="1"/>
  <c r="P320" i="2" a="1"/>
  <c r="P396" i="2" a="1"/>
  <c r="P310" i="2" a="1"/>
  <c r="P692" i="2" a="1"/>
  <c r="P541" i="2" a="1"/>
  <c r="P397" i="2" a="1"/>
  <c r="P639" i="2" a="1"/>
  <c r="P414" i="2" a="1"/>
  <c r="P552" i="2" a="1"/>
  <c r="P232" i="2" a="1"/>
  <c r="P302" i="2" a="1"/>
  <c r="P367" i="2" a="1"/>
  <c r="P137" i="2" a="1"/>
  <c r="P6" i="2" a="1"/>
  <c r="P295" i="2" a="1"/>
  <c r="P376" i="2" a="1"/>
  <c r="P629" i="2" a="1"/>
  <c r="P198" i="2" a="1"/>
  <c r="P377" i="2" a="1"/>
  <c r="P434" i="2" a="1"/>
  <c r="P223" i="2" a="1"/>
  <c r="P403" i="2" a="1"/>
  <c r="P559" i="2" a="1"/>
  <c r="P404" i="2" a="1"/>
  <c r="P514" i="2" a="1"/>
  <c r="P415" i="2" a="1"/>
  <c r="P685" i="2" a="1"/>
  <c r="P477" i="2" a="1"/>
  <c r="P47" i="2" a="1"/>
  <c r="P469" i="2" a="1"/>
  <c r="P470" i="2" a="1"/>
  <c r="P102" i="2" a="1"/>
  <c r="P378" i="2" a="1"/>
  <c r="P342" i="2" a="1"/>
  <c r="P138" i="2" a="1"/>
  <c r="P505" i="2" a="1"/>
  <c r="P368" i="2" a="1"/>
  <c r="P728" i="2" a="1"/>
  <c r="P115" i="2" a="1"/>
  <c r="P515" i="2" a="1"/>
  <c r="P211" i="2" a="1"/>
  <c r="P492" i="2" a="1"/>
  <c r="P165" i="2" a="1"/>
  <c r="P590" i="2" a="1"/>
  <c r="P369" i="2" a="1"/>
  <c r="P416" i="2" a="1"/>
  <c r="P39" i="2" a="1"/>
  <c r="P192" i="2" a="1"/>
  <c r="P553" i="2" a="1"/>
  <c r="P103" i="2" a="1"/>
  <c r="P560" i="2" a="1"/>
  <c r="P516" i="2" a="1"/>
  <c r="P264" i="2" a="1"/>
  <c r="P447" i="2" a="1"/>
  <c r="P98" i="2" a="1"/>
  <c r="P671" i="2" a="1"/>
  <c r="P157" i="2" a="1"/>
  <c r="P122" i="2" a="1"/>
  <c r="P455" i="2" a="1"/>
  <c r="P657" i="2" a="1"/>
  <c r="P815" i="2" a="1"/>
  <c r="P542" i="2" a="1"/>
  <c r="P166" i="2" a="1"/>
  <c r="P73" i="2" a="1"/>
  <c r="P104" i="2" a="1"/>
  <c r="P199" i="2" a="1"/>
  <c r="P456" i="2" a="1"/>
  <c r="P193" i="2" a="1"/>
  <c r="P576" i="2" a="1"/>
  <c r="P123" i="2" a="1"/>
  <c r="P243" i="2" a="1"/>
  <c r="P577" i="2" a="1"/>
  <c r="P296" i="2" a="1"/>
  <c r="P760" i="2" a="1"/>
  <c r="P40" i="2" a="1"/>
  <c r="P167" i="2" a="1"/>
  <c r="P438" i="2" a="1"/>
  <c r="P124" i="2" a="1"/>
  <c r="P144" i="2" a="1"/>
  <c r="P168" i="2" a="1"/>
  <c r="P640" i="2" a="1"/>
  <c r="P177" i="2" a="1"/>
  <c r="P212" i="2" a="1"/>
  <c r="P145" i="2" a="1"/>
  <c r="P529" i="2" a="1"/>
  <c r="P761" i="2" a="1"/>
  <c r="P313" i="2" a="1"/>
  <c r="P506" i="2" a="1"/>
  <c r="P48" i="2" a="1"/>
  <c r="P108" i="2" a="1"/>
  <c r="P507" i="2" a="1"/>
  <c r="P169" i="2" a="1"/>
  <c r="P806" i="2" a="1"/>
  <c r="P686" i="2" a="1"/>
  <c r="P569" i="2" a="1"/>
  <c r="P701" i="2" a="1"/>
  <c r="P422" i="2" a="1"/>
  <c r="P707" i="2" a="1"/>
  <c r="P708" i="2" a="1"/>
  <c r="P478" i="2" a="1"/>
  <c r="P14" i="2" a="1"/>
  <c r="P753" i="2" a="1"/>
  <c r="P274" i="2" a="1"/>
  <c r="P709" i="2" a="1"/>
  <c r="P417" i="2" a="1"/>
  <c r="P619" i="2" a="1"/>
  <c r="P543" i="2" a="1"/>
  <c r="P544" i="2" a="1"/>
  <c r="P7" i="2" a="1"/>
  <c r="P716" i="2" a="1"/>
  <c r="P275" i="2" a="1"/>
  <c r="P800" i="2" a="1"/>
  <c r="P600" i="2" a="1"/>
  <c r="P321" i="2" a="1"/>
  <c r="P762" i="2" a="1"/>
  <c r="P356" i="2" a="1"/>
  <c r="P641" i="2" a="1"/>
  <c r="P578" i="2" a="1"/>
  <c r="P620" i="2" a="1"/>
  <c r="P763" i="2" a="1"/>
  <c r="P281" i="2" a="1"/>
  <c r="P99" i="2" a="1"/>
  <c r="P200" i="2" a="1"/>
  <c r="P314" i="2" a="1"/>
  <c r="P398" i="2" a="1"/>
  <c r="P224" i="2" a="1"/>
  <c r="P139" i="2" a="1"/>
  <c r="P493" i="2" a="1"/>
  <c r="P322" i="2" a="1"/>
  <c r="P517" i="2" a="1"/>
  <c r="P170" i="2" a="1"/>
  <c r="P788" i="2" a="1"/>
  <c r="P41" i="2" a="1"/>
  <c r="P530" i="2" a="1"/>
  <c r="P254" i="2" a="1"/>
  <c r="P125" i="2" a="1"/>
  <c r="P764" i="2" a="1"/>
  <c r="P545" i="2" a="1"/>
  <c r="P244" i="2" a="1"/>
  <c r="P201" i="2" a="1"/>
  <c r="P561" i="2" a="1"/>
  <c r="P282" i="2" a="1"/>
  <c r="P531" i="2" a="1"/>
  <c r="P494" i="2" a="1"/>
  <c r="P495" i="2" a="1"/>
  <c r="P54" i="2" a="1"/>
  <c r="P608" i="2" a="1"/>
  <c r="P386" i="2" a="1"/>
  <c r="P25" i="2" a="1"/>
  <c r="P55" i="2" a="1"/>
  <c r="P387" i="2" a="1"/>
  <c r="P554" i="2" a="1"/>
  <c r="P457" i="2" a="1"/>
  <c r="P648" i="2" a="1"/>
  <c r="P146" i="2" a="1"/>
  <c r="P74" i="2" a="1"/>
  <c r="P323" i="2" a="1"/>
  <c r="P213" i="2" a="1"/>
  <c r="P405" i="2" a="1"/>
  <c r="P717" i="2" a="1"/>
  <c r="P276" i="2" a="1"/>
  <c r="P630" i="2" a="1"/>
  <c r="P471" i="2" a="1"/>
  <c r="P649" i="2" a="1"/>
  <c r="P42" i="2" a="1"/>
  <c r="P255" i="2" a="1"/>
  <c r="P140" i="2" a="1"/>
  <c r="P789" i="2" a="1"/>
  <c r="P379" i="2" a="1"/>
  <c r="P508" i="2" a="1"/>
  <c r="P771" i="2" a="1"/>
  <c r="P658" i="2" a="1"/>
  <c r="P801" i="2" a="1"/>
  <c r="P380" i="2" a="1"/>
  <c r="P315" i="2" a="1"/>
  <c r="P178" i="2" a="1"/>
  <c r="P245" i="2" a="1"/>
  <c r="P807" i="2" a="1"/>
  <c r="P283" i="2" a="1"/>
  <c r="P439" i="2" a="1"/>
  <c r="P509" i="2" a="1"/>
  <c r="P659" i="2" a="1"/>
  <c r="P265" i="2" a="1"/>
  <c r="P702" i="2" a="1"/>
  <c r="P357" i="2" a="1"/>
  <c r="P772" i="2" a="1"/>
  <c r="P406" i="2" a="1"/>
  <c r="P351" i="2" a="1"/>
  <c r="P729" i="2" a="1"/>
  <c r="P43" i="2" a="1"/>
  <c r="P171" i="2" a="1"/>
  <c r="P621" i="2" a="1"/>
  <c r="P67" i="2" a="1"/>
  <c r="P440" i="2" a="1"/>
  <c r="P765" i="2" a="1"/>
  <c r="P487" i="2" a="1"/>
  <c r="P650" i="2" a="1"/>
  <c r="P660" i="2" a="1"/>
  <c r="P233" i="2" a="1"/>
  <c r="P194" i="2" a="1"/>
  <c r="P316" i="2" a="1"/>
  <c r="P61" i="2" a="1"/>
  <c r="P441" i="2" a="1"/>
  <c r="P773" i="2" a="1"/>
  <c r="P147" i="2" a="1"/>
  <c r="P479" i="2" a="1"/>
  <c r="P49" i="2" a="1"/>
  <c r="P448" i="2" a="1"/>
  <c r="P679" i="2" a="1"/>
  <c r="P214" i="2" a="1"/>
  <c r="P651" i="2" a="1"/>
  <c r="P496" i="2" a="1"/>
  <c r="P743" i="2" a="1"/>
  <c r="P774" i="2" a="1"/>
  <c r="P343" i="2" a="1"/>
  <c r="P672" i="2" a="1"/>
  <c r="P388" i="2" a="1"/>
  <c r="P75" i="2" a="1"/>
  <c r="P324" i="2" a="1"/>
  <c r="P652" i="2" a="1"/>
  <c r="P317" i="2" a="1"/>
  <c r="P195" i="2" a="1"/>
  <c r="P172" i="2" a="1"/>
  <c r="P466" i="2" a="1"/>
  <c r="P407" i="2" a="1"/>
  <c r="P673" i="2" a="1"/>
  <c r="P202" i="2" a="1"/>
  <c r="P518" i="2" a="1"/>
  <c r="P215" i="2" a="1"/>
  <c r="P216" i="2" a="1"/>
  <c r="P62" i="2" a="1"/>
  <c r="P519" i="2" a="1"/>
  <c r="P235" i="2" a="1"/>
  <c r="P736" i="2" a="1"/>
  <c r="P399" i="2" a="1"/>
  <c r="P497" i="2" a="1"/>
  <c r="P532" i="2" a="1"/>
  <c r="P602" i="2" a="1"/>
  <c r="P533" i="2" a="1"/>
  <c r="P423" i="2" a="1"/>
  <c r="P609" i="2" a="1"/>
  <c r="P26" i="2" a="1"/>
  <c r="P225" i="2" a="1"/>
  <c r="P203" i="2" a="1"/>
  <c r="P579" i="2" a="1"/>
  <c r="P488" i="2" a="1"/>
  <c r="P610" i="2" a="1"/>
  <c r="P424" i="2" a="1"/>
  <c r="P603" i="2" a="1"/>
  <c r="P109" i="2" a="1"/>
  <c r="P15" i="2" a="1"/>
  <c r="P449" i="2" a="1"/>
  <c r="P110" i="2" a="1"/>
  <c r="P611" i="2" a="1"/>
  <c r="P816" i="2" a="1"/>
  <c r="P766" i="2" a="1"/>
  <c r="P284" i="2" a="1"/>
  <c r="P754" i="2" a="1"/>
  <c r="P604" i="2" a="1"/>
  <c r="P790" i="2" a="1"/>
  <c r="P631" i="2" a="1"/>
  <c r="P534" i="2" a="1"/>
  <c r="P435" i="2" a="1"/>
  <c r="P204" i="2" a="1"/>
  <c r="P246" i="2" a="1"/>
  <c r="P546" i="2" a="1"/>
  <c r="P217" i="2" a="1"/>
  <c r="P68" i="2" a="1"/>
  <c r="P703" i="2" a="1"/>
  <c r="P111" i="2" a="1"/>
  <c r="P303" i="2" a="1"/>
  <c r="P622" i="2" a="1"/>
  <c r="P304" i="2" a="1"/>
  <c r="P76" i="2" a="1"/>
  <c r="P591" i="2" a="1"/>
  <c r="P185" i="2" a="1"/>
  <c r="P755" i="2" a="1"/>
  <c r="P756" i="2" a="1"/>
  <c r="P775" i="2" a="1"/>
  <c r="P27" i="2" a="1"/>
  <c r="P744" i="2" a="1"/>
  <c r="P236" i="2" a="1"/>
  <c r="P498" i="2" a="1"/>
  <c r="P480" i="2" a="1"/>
  <c r="P481" i="2" a="1"/>
  <c r="P730" i="2" a="1"/>
  <c r="P776" i="2" a="1"/>
  <c r="P179" i="2" a="1"/>
  <c r="P400" i="2" a="1"/>
  <c r="P520" i="2" a="1"/>
  <c r="P632" i="2" a="1"/>
  <c r="P358" i="2" a="1"/>
  <c r="P570" i="2" a="1"/>
  <c r="P580" i="2" a="1"/>
  <c r="P318" i="2" a="1"/>
  <c r="P69" i="2" a="1"/>
  <c r="P425" i="2" a="1"/>
  <c r="P409" i="2" a="1"/>
  <c r="P613" i="2" a="1"/>
  <c r="P458" i="2" a="1"/>
  <c r="P718" i="2" a="1"/>
  <c r="P777" i="2" a="1"/>
  <c r="P704" i="2" a="1"/>
  <c r="P126" i="2" a="1"/>
  <c r="P719" i="2" a="1"/>
  <c r="P581" i="2" a="1"/>
  <c r="P817" i="2" a="1"/>
  <c r="P693" i="2" a="1"/>
  <c r="P791" i="2" a="1"/>
  <c r="P482" i="2" a="1"/>
  <c r="P285" i="2" a="1"/>
  <c r="P571" i="2" a="1"/>
  <c r="P746" i="2" a="1"/>
  <c r="P218" i="2" a="1"/>
  <c r="P141" i="2" a="1"/>
  <c r="P63" i="2" a="1"/>
  <c r="P747" i="2" a="1"/>
  <c r="P159" i="2" a="1"/>
  <c r="P389" i="2" a="1"/>
  <c r="P661" i="2" a="1"/>
  <c r="P50" i="2" a="1"/>
  <c r="P112" i="2" a="1"/>
  <c r="P642" i="2" a="1"/>
  <c r="P186" i="2" a="1"/>
  <c r="P205" i="2" a="1"/>
  <c r="P344" i="2" a="1"/>
  <c r="P56" i="2" a="1"/>
  <c r="P436" i="2" a="1"/>
  <c r="P51" i="2" a="1"/>
  <c r="P86" i="2" a="1"/>
  <c r="P160" i="2" a="1"/>
  <c r="P535" i="2" a="1"/>
  <c r="P16" i="2" a="1"/>
  <c r="P8" i="2" a="1"/>
  <c r="P694" i="2" a="1"/>
  <c r="P767" i="2" a="1"/>
  <c r="P29" i="2" a="1"/>
  <c r="P633" i="2" a="1"/>
  <c r="P30" i="2" a="1"/>
  <c r="P662" i="2" a="1"/>
  <c r="P64" i="2" a="1"/>
  <c r="P680" i="2" a="1"/>
  <c r="P148" i="2" a="1"/>
  <c r="P116" i="2" a="1"/>
  <c r="P792" i="2" a="1"/>
  <c r="P768" i="2" a="1"/>
  <c r="P77" i="2" a="1"/>
  <c r="P710" i="2" a="1"/>
  <c r="P711" i="2" a="1"/>
  <c r="P555" i="2" a="1"/>
  <c r="P149" i="2" a="1"/>
  <c r="P57" i="2" a="1"/>
  <c r="P117" i="2" a="1"/>
  <c r="P695" i="2" a="1"/>
  <c r="P266" i="2" a="1"/>
  <c r="P78" i="2" a="1"/>
  <c r="P2" i="2" l="1" a="1"/>
  <c r="N11" i="10" s="1"/>
  <c r="N17" i="10"/>
  <c r="N16" i="10"/>
  <c r="M17" i="10"/>
  <c r="M18" i="10"/>
  <c r="M19" i="10"/>
  <c r="M20" i="10"/>
  <c r="M16" i="10"/>
  <c r="L19" i="10"/>
  <c r="L20" i="10"/>
  <c r="L16" i="10"/>
  <c r="N18" i="10"/>
  <c r="L17" i="10"/>
  <c r="M11" i="10"/>
  <c r="N19" i="10"/>
  <c r="L18" i="10"/>
  <c r="L11" i="10"/>
  <c r="M9" i="10"/>
  <c r="L9" i="10"/>
  <c r="N9" i="10"/>
  <c r="N20" i="10"/>
  <c r="N13" i="10"/>
  <c r="M13" i="10"/>
  <c r="L13" i="10"/>
  <c r="N12" i="10"/>
  <c r="M12" i="10"/>
  <c r="L12" i="10"/>
  <c r="N10" i="10"/>
  <c r="L10" i="10"/>
  <c r="M10" i="10"/>
  <c r="E3" i="10"/>
  <c r="O34" i="9" s="1"/>
  <c r="L34" i="9"/>
  <c r="E4" i="10"/>
  <c r="O35" i="9" s="1"/>
  <c r="L35" i="9"/>
  <c r="E5" i="10"/>
  <c r="O36" i="9" s="1"/>
  <c r="L36" i="9"/>
  <c r="E6" i="10"/>
  <c r="O37" i="9" s="1"/>
  <c r="L37" i="9"/>
  <c r="E2" i="10"/>
  <c r="O33" i="9" s="1"/>
  <c r="L33" i="9"/>
  <c r="M4" i="10"/>
  <c r="N4" i="10"/>
  <c r="L4" i="10"/>
  <c r="N2" i="10"/>
  <c r="M2" i="10"/>
  <c r="L2" i="10"/>
  <c r="M6" i="10"/>
  <c r="L6" i="10"/>
  <c r="N6" i="10"/>
  <c r="N5" i="10"/>
  <c r="M5" i="10"/>
  <c r="L5" i="10"/>
  <c r="N3" i="10"/>
  <c r="M3" i="10"/>
  <c r="L3" i="10"/>
  <c r="H3" i="10"/>
  <c r="U34" i="9" s="1"/>
  <c r="Q34" i="9"/>
  <c r="H5" i="10"/>
  <c r="U36" i="9" s="1"/>
  <c r="Q36" i="9"/>
  <c r="H6" i="10"/>
  <c r="U37" i="9" s="1"/>
  <c r="Q37" i="9"/>
  <c r="H2" i="10"/>
  <c r="Q33" i="9"/>
  <c r="U33" i="9" l="1"/>
  <c r="Q35" i="9"/>
  <c r="H4" i="10"/>
  <c r="U35" i="9" l="1"/>
  <c r="B1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6C0A8-5738-450C-97E7-7EE86455379C}" keepAlive="1" name="Query - Daily_Staffing_Log" description="Connection to the 'Daily_Staffing_Log' query in the workbook." type="5" refreshedVersion="8" background="1" saveData="1">
    <dbPr connection="Provider=Microsoft.Mashup.OleDb.1;Data Source=$Workbook$;Location=Daily_Staffing_Log;Extended Properties=&quot;&quot;" command="SELECT * FROM [Daily_Staffing_Log]"/>
  </connection>
  <connection id="2" xr16:uid="{EA85CCEF-5494-43D0-8F67-A7E38E22EA11}" keepAlive="1" name="Query - Dept_Reference" description="Connection to the 'Dept_Reference' query in the workbook." type="5" refreshedVersion="8" background="1" saveData="1">
    <dbPr connection="Provider=Microsoft.Mashup.OleDb.1;Data Source=$Workbook$;Location=Dept_Reference;Extended Properties=&quot;&quot;" command="SELECT * FROM [Dept_Reference]"/>
  </connection>
  <connection id="3" xr16:uid="{BB801F16-9F00-4A5E-95F3-E32E61EF56EF}" keepAlive="1" name="Query - EHR_Export" description="Connection to the 'EHR_Export' query in the workbook." type="5" refreshedVersion="8" background="1" saveData="1">
    <dbPr connection="Provider=Microsoft.Mashup.OleDb.1;Data Source=$Workbook$;Location=EHR_Export;Extended Properties=&quot;&quot;" command="SELECT * FROM [EHR_Export]"/>
  </connection>
  <connection id="4" xr16:uid="{B34A5A29-344E-495B-B1C1-4DE59400FD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3E455DA7-CA27-48B5-9BB6-2C888CD62A7F}" name="WorksheetConnection_hospital_patientsatisfaction_dashboardandclean.xlsx!Daily_Staffing_Log" type="102" refreshedVersion="8" minRefreshableVersion="5">
    <extLst>
      <ext xmlns:x15="http://schemas.microsoft.com/office/spreadsheetml/2010/11/main" uri="{DE250136-89BD-433C-8126-D09CA5730AF9}">
        <x15:connection id="Daily_Staffing_Log">
          <x15:rangePr sourceName="_xlcn.WorksheetConnection_hospital_patientsatisfaction_dashboardandclean.xlsxDaily_Staffing_Log1"/>
        </x15:connection>
      </ext>
    </extLst>
  </connection>
  <connection id="6" xr16:uid="{701DDD8B-C5A1-4364-815F-EDC48FEAE823}" name="WorksheetConnection_hospital_patientsatisfaction_dashboardandclean.xlsx!Dept_Reference" type="102" refreshedVersion="8" minRefreshableVersion="5">
    <extLst>
      <ext xmlns:x15="http://schemas.microsoft.com/office/spreadsheetml/2010/11/main" uri="{DE250136-89BD-433C-8126-D09CA5730AF9}">
        <x15:connection id="Dept_Reference">
          <x15:rangePr sourceName="_xlcn.WorksheetConnection_hospital_patientsatisfaction_dashboardandclean.xlsxDept_Reference1"/>
        </x15:connection>
      </ext>
    </extLst>
  </connection>
  <connection id="7" xr16:uid="{F683FF21-3AF6-40FE-9CC2-13B9AE210B42}" name="WorksheetConnection_hospital_patientsatisfaction_dashboardandclean.xlsx!EHR_Export" type="102" refreshedVersion="8" minRefreshableVersion="5">
    <extLst>
      <ext xmlns:x15="http://schemas.microsoft.com/office/spreadsheetml/2010/11/main" uri="{DE250136-89BD-433C-8126-D09CA5730AF9}">
        <x15:connection id="EHR_Export">
          <x15:rangePr sourceName="_xlcn.WorksheetConnection_hospital_patientsatisfaction_dashboardandclean.xlsxEHR_Export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<sst xmlns="http://schemas.openxmlformats.org/spreadsheetml/2006/main" count="9880" uniqueCount="1693">
  <si>
    <t>Visit ID</t>
  </si>
  <si>
    <t>Visit Date</t>
  </si>
  <si>
    <t>Arrival Time</t>
  </si>
  <si>
    <t>Patient Name</t>
  </si>
  <si>
    <t>Age</t>
  </si>
  <si>
    <t>Gender</t>
  </si>
  <si>
    <t>Insurance</t>
  </si>
  <si>
    <t>Wait Time (min)</t>
  </si>
  <si>
    <t>Treatment Time (min)</t>
  </si>
  <si>
    <t>Satisfaction (1-5)</t>
  </si>
  <si>
    <t>Readmitted 30d</t>
  </si>
  <si>
    <t>Charge Amount</t>
  </si>
  <si>
    <t>Patient 1729</t>
  </si>
  <si>
    <t>Uninsured</t>
  </si>
  <si>
    <t>No</t>
  </si>
  <si>
    <t>Patient 1496</t>
  </si>
  <si>
    <t>Patient 1424</t>
  </si>
  <si>
    <t>Patient 1183</t>
  </si>
  <si>
    <t>Yes</t>
  </si>
  <si>
    <t>Patient 1667</t>
  </si>
  <si>
    <t>Patient 1781</t>
  </si>
  <si>
    <t>PEDS</t>
  </si>
  <si>
    <t>Patient 1253</t>
  </si>
  <si>
    <t>Emergency</t>
  </si>
  <si>
    <t>Patient 1210</t>
  </si>
  <si>
    <t>Medicare</t>
  </si>
  <si>
    <t>Patient 1449</t>
  </si>
  <si>
    <t>Patient 1442</t>
  </si>
  <si>
    <t>ER</t>
  </si>
  <si>
    <t>Patient 1356</t>
  </si>
  <si>
    <t>Patient 1353</t>
  </si>
  <si>
    <t>Patient 1494</t>
  </si>
  <si>
    <t>Patient 1346</t>
  </si>
  <si>
    <t>Patient 1196</t>
  </si>
  <si>
    <t>Medicaid</t>
  </si>
  <si>
    <t>Patient 1241</t>
  </si>
  <si>
    <t>Patient 1001</t>
  </si>
  <si>
    <t>Patient 1706</t>
  </si>
  <si>
    <t>Private</t>
  </si>
  <si>
    <t>Patient 1513</t>
  </si>
  <si>
    <t>Patient 1333</t>
  </si>
  <si>
    <t>Patient 1249</t>
  </si>
  <si>
    <t>Orthopedics</t>
  </si>
  <si>
    <t>Patient 1644</t>
  </si>
  <si>
    <t>Patient 1140</t>
  </si>
  <si>
    <t>Patient 1229</t>
  </si>
  <si>
    <t>Cardiology</t>
  </si>
  <si>
    <t>Patient 1402</t>
  </si>
  <si>
    <t>ORTH</t>
  </si>
  <si>
    <t>Patient 1376</t>
  </si>
  <si>
    <t>Patient 1128</t>
  </si>
  <si>
    <t>Patient 1777</t>
  </si>
  <si>
    <t>Patient 1535</t>
  </si>
  <si>
    <t>Pediatrics</t>
  </si>
  <si>
    <t>Patient 1281</t>
  </si>
  <si>
    <t>Patient 1681</t>
  </si>
  <si>
    <t>Patient 1740</t>
  </si>
  <si>
    <t>Patient 1764</t>
  </si>
  <si>
    <t>SURG</t>
  </si>
  <si>
    <t>Patient 1456</t>
  </si>
  <si>
    <t>Patient 1562</t>
  </si>
  <si>
    <t>Patient 1683</t>
  </si>
  <si>
    <t>Patient 1798</t>
  </si>
  <si>
    <t>Patient 1617</t>
  </si>
  <si>
    <t>Patient 1275</t>
  </si>
  <si>
    <t>Patient 1310</t>
  </si>
  <si>
    <t>Patient 1037</t>
  </si>
  <si>
    <t>Patient 1038</t>
  </si>
  <si>
    <t>Patient 1078</t>
  </si>
  <si>
    <t>Patient 1433</t>
  </si>
  <si>
    <t>Patient 1671</t>
  </si>
  <si>
    <t>Patient 1299</t>
  </si>
  <si>
    <t>Patient 1545</t>
  </si>
  <si>
    <t>Patient 1473</t>
  </si>
  <si>
    <t>Patient 1006</t>
  </si>
  <si>
    <t>Patient 1523</t>
  </si>
  <si>
    <t>Patient 1094</t>
  </si>
  <si>
    <t>Patient 1784</t>
  </si>
  <si>
    <t>Patient 1629</t>
  </si>
  <si>
    <t>Patient 1558</t>
  </si>
  <si>
    <t>Patient 1213</t>
  </si>
  <si>
    <t>Patient 1332</t>
  </si>
  <si>
    <t>Patient 1043</t>
  </si>
  <si>
    <t>Patient 1663</t>
  </si>
  <si>
    <t>Patient 1289</t>
  </si>
  <si>
    <t>Patient 1101</t>
  </si>
  <si>
    <t>Patient 1418</t>
  </si>
  <si>
    <t>Patient 1328</t>
  </si>
  <si>
    <t>Patient 1501</t>
  </si>
  <si>
    <t>Patient 1789</t>
  </si>
  <si>
    <t>Patient 1019</t>
  </si>
  <si>
    <t>Patient 1413</t>
  </si>
  <si>
    <t>Patient 1650</t>
  </si>
  <si>
    <t>Patient 1610</t>
  </si>
  <si>
    <t>Patient 1708</t>
  </si>
  <si>
    <t>Patient 1544</t>
  </si>
  <si>
    <t>Patient 1408</t>
  </si>
  <si>
    <t>Patient 1721</t>
  </si>
  <si>
    <t>Patient 1151</t>
  </si>
  <si>
    <t>Patient 1266</t>
  </si>
  <si>
    <t>Patient 1747</t>
  </si>
  <si>
    <t>Patient 1340</t>
  </si>
  <si>
    <t>Patient 1703</t>
  </si>
  <si>
    <t>Patient 1270</t>
  </si>
  <si>
    <t>Patient 1184</t>
  </si>
  <si>
    <t>Patient 1142</t>
  </si>
  <si>
    <t>Patient 1689</t>
  </si>
  <si>
    <t>Patient 1223</t>
  </si>
  <si>
    <t>Patient 1259</t>
  </si>
  <si>
    <t>Patient 1199</t>
  </si>
  <si>
    <t>Patient 1793</t>
  </si>
  <si>
    <t>Patient 1224</t>
  </si>
  <si>
    <t>Patient 1662</t>
  </si>
  <si>
    <t>Patient 1320</t>
  </si>
  <si>
    <t>Patient 1480</t>
  </si>
  <si>
    <t>Patient 1020</t>
  </si>
  <si>
    <t>Patient 1367</t>
  </si>
  <si>
    <t>Patient 1532</t>
  </si>
  <si>
    <t>Patient 1419</t>
  </si>
  <si>
    <t>Patient 1301</t>
  </si>
  <si>
    <t>Patient 1649</t>
  </si>
  <si>
    <t>Patient 1318</t>
  </si>
  <si>
    <t>Patient 1238</t>
  </si>
  <si>
    <t>Patient 1656</t>
  </si>
  <si>
    <t>Patient 1686</t>
  </si>
  <si>
    <t>Patient 1444</t>
  </si>
  <si>
    <t>CARD</t>
  </si>
  <si>
    <t>Patient 1068</t>
  </si>
  <si>
    <t>Patient 1336</t>
  </si>
  <si>
    <t>Patient 1268</t>
  </si>
  <si>
    <t>Patient 1587</t>
  </si>
  <si>
    <t>Patient 1360</t>
  </si>
  <si>
    <t>Patient 1066</t>
  </si>
  <si>
    <t>Patient 1058</t>
  </si>
  <si>
    <t>Patient 1574</t>
  </si>
  <si>
    <t>Patient 1090</t>
  </si>
  <si>
    <t>Patient 1770</t>
  </si>
  <si>
    <t>Patient 1286</t>
  </si>
  <si>
    <t>Patient 1245</t>
  </si>
  <si>
    <t>Patient 1103</t>
  </si>
  <si>
    <t>Patient 1201</t>
  </si>
  <si>
    <t>Patient 1397</t>
  </si>
  <si>
    <t>Patient 1763</t>
  </si>
  <si>
    <t>Patient 1738</t>
  </si>
  <si>
    <t>Patient 1317</t>
  </si>
  <si>
    <t>Patient 1601</t>
  </si>
  <si>
    <t>Patient 1324</t>
  </si>
  <si>
    <t>Patient 1267</t>
  </si>
  <si>
    <t>Patient 1283</t>
  </si>
  <si>
    <t>Patient 1766</t>
  </si>
  <si>
    <t>Patient 1032</t>
  </si>
  <si>
    <t>Patient 1011</t>
  </si>
  <si>
    <t>Patient 1392</t>
  </si>
  <si>
    <t>Patient 1302</t>
  </si>
  <si>
    <t>Patient 1713</t>
  </si>
  <si>
    <t>Patient 1247</t>
  </si>
  <si>
    <t>Patient 1608</t>
  </si>
  <si>
    <t>Patient 1472</t>
  </si>
  <si>
    <t>Patient 1062</t>
  </si>
  <si>
    <t>Patient 1092</t>
  </si>
  <si>
    <t>Patient 1191</t>
  </si>
  <si>
    <t>Patient 1742</t>
  </si>
  <si>
    <t>Patient 1490</t>
  </si>
  <si>
    <t>Patient 1323</t>
  </si>
  <si>
    <t>Patient 1450</t>
  </si>
  <si>
    <t>Patient 1338</t>
  </si>
  <si>
    <t>Patient 1258</t>
  </si>
  <si>
    <t>Patient 1067</t>
  </si>
  <si>
    <t>Patient 1609</t>
  </si>
  <si>
    <t>Patient 1125</t>
  </si>
  <si>
    <t>Patient 1380</t>
  </si>
  <si>
    <t>Patient 1425</t>
  </si>
  <si>
    <t>Patient 1015</t>
  </si>
  <si>
    <t>Patient 1543</t>
  </si>
  <si>
    <t>Patient 1254</t>
  </si>
  <si>
    <t>Patient 1271</t>
  </si>
  <si>
    <t>Patient 1159</t>
  </si>
  <si>
    <t>Patient 1692</t>
  </si>
  <si>
    <t>Patient 1138</t>
  </si>
  <si>
    <t>Patient 1277</t>
  </si>
  <si>
    <t>Patient 1255</t>
  </si>
  <si>
    <t>Patient 1303</t>
  </si>
  <si>
    <t>Patient 1420</t>
  </si>
  <si>
    <t>Patient 1186</t>
  </si>
  <si>
    <t>Patient 1655</t>
  </si>
  <si>
    <t>Patient 1181</t>
  </si>
  <si>
    <t>Patient 1384</t>
  </si>
  <si>
    <t>Patient 1084</t>
  </si>
  <si>
    <t>Patient 1478</t>
  </si>
  <si>
    <t>Patient 1582</t>
  </si>
  <si>
    <t>Patient 1717</t>
  </si>
  <si>
    <t>Patient 1127</t>
  </si>
  <si>
    <t>Patient 1282</t>
  </si>
  <si>
    <t>Patient 1541</t>
  </si>
  <si>
    <t>Patient 1434</t>
  </si>
  <si>
    <t>Patient 1079</t>
  </si>
  <si>
    <t>Patient 1097</t>
  </si>
  <si>
    <t>Patient 1564</t>
  </si>
  <si>
    <t>Patient 1705</t>
  </si>
  <si>
    <t>Patient 1345</t>
  </si>
  <si>
    <t>Patient 1499</t>
  </si>
  <si>
    <t>Patient 1435</t>
  </si>
  <si>
    <t>Patient 1080</t>
  </si>
  <si>
    <t>Patient 1214</t>
  </si>
  <si>
    <t>Patient 1280</t>
  </si>
  <si>
    <t>Patient 1785</t>
  </si>
  <si>
    <t>Patient 1628</t>
  </si>
  <si>
    <t>Patient 1126</t>
  </si>
  <si>
    <t>Patient 1657</t>
  </si>
  <si>
    <t>Patient 1691</t>
  </si>
  <si>
    <t>Patient 1263</t>
  </si>
  <si>
    <t>Patient 1050</t>
  </si>
  <si>
    <t>Patient 1377</t>
  </si>
  <si>
    <t>Patient 1448</t>
  </si>
  <si>
    <t>Patient 1585</t>
  </si>
  <si>
    <t>Patient 1351</t>
  </si>
  <si>
    <t>Patient 1522</t>
  </si>
  <si>
    <t>Patient 1634</t>
  </si>
  <si>
    <t>Patient 1288</t>
  </si>
  <si>
    <t>Patient 1237</t>
  </si>
  <si>
    <t>Patient 1651</t>
  </si>
  <si>
    <t>Patient 1091</t>
  </si>
  <si>
    <t>Patient 1357</t>
  </si>
  <si>
    <t>Patient 1475</t>
  </si>
  <si>
    <t>Patient 1347</t>
  </si>
  <si>
    <t>Patient 1243</t>
  </si>
  <si>
    <t>Patient 1452</t>
  </si>
  <si>
    <t>Patient 1118</t>
  </si>
  <si>
    <t>Patient 1445</t>
  </si>
  <si>
    <t>Patient 1033</t>
  </si>
  <si>
    <t>Patient 1012</t>
  </si>
  <si>
    <t>Patient 1654</t>
  </si>
  <si>
    <t>Patient 1575</t>
  </si>
  <si>
    <t>Patient 1176</t>
  </si>
  <si>
    <t>Patient 1595</t>
  </si>
  <si>
    <t>Patient 1182</t>
  </si>
  <si>
    <t>Patient 1041</t>
  </si>
  <si>
    <t>Patient 1129</t>
  </si>
  <si>
    <t>Patient 1674</t>
  </si>
  <si>
    <t>Patient 1576</t>
  </si>
  <si>
    <t>Patient 1622</t>
  </si>
  <si>
    <t>Patient 1416</t>
  </si>
  <si>
    <t>Patient 1668</t>
  </si>
  <si>
    <t>Patient 1528</t>
  </si>
  <si>
    <t>Patient 1046</t>
  </si>
  <si>
    <t>Patient 1180</t>
  </si>
  <si>
    <t>Patient 1134</t>
  </si>
  <si>
    <t>Patient 1174</t>
  </si>
  <si>
    <t>Patient 1559</t>
  </si>
  <si>
    <t>Patient 1519</t>
  </si>
  <si>
    <t>Patient 1173</t>
  </si>
  <si>
    <t>Patient 1492</t>
  </si>
  <si>
    <t>Patient 1123</t>
  </si>
  <si>
    <t>Patient 1291</t>
  </si>
  <si>
    <t>Patient 1788</t>
  </si>
  <si>
    <t>Patient 1684</t>
  </si>
  <si>
    <t>Patient 1734</t>
  </si>
  <si>
    <t>Patient 1189</t>
  </si>
  <si>
    <t>Patient 1463</t>
  </si>
  <si>
    <t>Patient 1711</t>
  </si>
  <si>
    <t>Patient 1514</t>
  </si>
  <si>
    <t>Patient 1618</t>
  </si>
  <si>
    <t>Patient 1465</t>
  </si>
  <si>
    <t>Patient 1454</t>
  </si>
  <si>
    <t>Patient 1621</t>
  </si>
  <si>
    <t>Patient 1421</t>
  </si>
  <si>
    <t>Patient 1645</t>
  </si>
  <si>
    <t>Patient 1153</t>
  </si>
  <si>
    <t>Patient 1024</t>
  </si>
  <si>
    <t>Patient 1787</t>
  </si>
  <si>
    <t>Patient 1190</t>
  </si>
  <si>
    <t>Patient 1096</t>
  </si>
  <si>
    <t>Patient 1287</t>
  </si>
  <si>
    <t>Patient 1605</t>
  </si>
  <si>
    <t>Patient 1105</t>
  </si>
  <si>
    <t>Patient 1077</t>
  </si>
  <si>
    <t>Patient 1659</t>
  </si>
  <si>
    <t>Patient 1640</t>
  </si>
  <si>
    <t>Patient 1209</t>
  </si>
  <si>
    <t>Patient 1175</t>
  </si>
  <si>
    <t>Patient 1386</t>
  </si>
  <si>
    <t>Patient 1727</t>
  </si>
  <si>
    <t>Patient 1385</t>
  </si>
  <si>
    <t>Patient 1319</t>
  </si>
  <si>
    <t>Patient 1104</t>
  </si>
  <si>
    <t>Patient 1796</t>
  </si>
  <si>
    <t>Patient 1580</t>
  </si>
  <si>
    <t>Patient 1470</t>
  </si>
  <si>
    <t>Patient 1017</t>
  </si>
  <si>
    <t>Patient 1666</t>
  </si>
  <si>
    <t>Patient 1048</t>
  </si>
  <si>
    <t>Patient 1365</t>
  </si>
  <si>
    <t>Patient 1546</t>
  </si>
  <si>
    <t>Patient 1264</t>
  </si>
  <si>
    <t>Patient 1437</t>
  </si>
  <si>
    <t>Patient 1773</t>
  </si>
  <si>
    <t>Patient 1013</t>
  </si>
  <si>
    <t>Patient 1431</t>
  </si>
  <si>
    <t>Patient 1718</t>
  </si>
  <si>
    <t>Patient 1130</t>
  </si>
  <si>
    <t>Patient 1294</t>
  </si>
  <si>
    <t>Patient 1028</t>
  </si>
  <si>
    <t>Patient 1573</t>
  </si>
  <si>
    <t>Patient 1059</t>
  </si>
  <si>
    <t>Patient 1262</t>
  </si>
  <si>
    <t>Patient 1379</t>
  </si>
  <si>
    <t>Patient 1536</t>
  </si>
  <si>
    <t>Patient 1616</t>
  </si>
  <si>
    <t>Patient 1505</t>
  </si>
  <si>
    <t>Patient 1638</t>
  </si>
  <si>
    <t>Patient 1334</t>
  </si>
  <si>
    <t>Patient 1687</t>
  </si>
  <si>
    <t>Patient 1639</t>
  </si>
  <si>
    <t>Patient 1085</t>
  </si>
  <si>
    <t>Patient 1495</t>
  </si>
  <si>
    <t>Patient 1581</t>
  </si>
  <si>
    <t>Patient 1730</t>
  </si>
  <si>
    <t>Patient 1725</t>
  </si>
  <si>
    <t>Patient 1206</t>
  </si>
  <si>
    <t>Patient 1358</t>
  </si>
  <si>
    <t>Patient 1776</t>
  </si>
  <si>
    <t>Patient 1031</t>
  </si>
  <si>
    <t>Patient 1158</t>
  </si>
  <si>
    <t>Patient 1295</t>
  </si>
  <si>
    <t>Patient 1239</t>
  </si>
  <si>
    <t>Patient 1714</t>
  </si>
  <si>
    <t>Patient 1405</t>
  </si>
  <si>
    <t>Patient 1520</t>
  </si>
  <si>
    <t>Patient 1710</t>
  </si>
  <si>
    <t>Patient 1150</t>
  </si>
  <si>
    <t>Patient 1665</t>
  </si>
  <si>
    <t>Patient 1240</t>
  </si>
  <si>
    <t>Patient 1296</t>
  </si>
  <si>
    <t>Patient 1672</t>
  </si>
  <si>
    <t>Patient 1052</t>
  </si>
  <si>
    <t>Patient 1329</t>
  </si>
  <si>
    <t>Patient 1775</t>
  </si>
  <si>
    <t>Patient 1250</t>
  </si>
  <si>
    <t>Patient 1771</t>
  </si>
  <si>
    <t>Patient 1373</t>
  </si>
  <si>
    <t>Patient 1533</t>
  </si>
  <si>
    <t>Patient 1753</t>
  </si>
  <si>
    <t>Patient 1590</t>
  </si>
  <si>
    <t>Patient 1009</t>
  </si>
  <si>
    <t>Patient 1551</t>
  </si>
  <si>
    <t>Patient 1517</t>
  </si>
  <si>
    <t>Patient 1035</t>
  </si>
  <si>
    <t>Patient 1782</t>
  </si>
  <si>
    <t>Patient 1704</t>
  </si>
  <si>
    <t>Patient 1164</t>
  </si>
  <si>
    <t>Patient 1088</t>
  </si>
  <si>
    <t>Patient 1363</t>
  </si>
  <si>
    <t>Patient 1233</t>
  </si>
  <si>
    <t>Patient 1794</t>
  </si>
  <si>
    <t>Patient 1027</t>
  </si>
  <si>
    <t>Patient 1726</t>
  </si>
  <si>
    <t>Patient 1400</t>
  </si>
  <si>
    <t>Patient 1488</t>
  </si>
  <si>
    <t>Patient 1455</t>
  </si>
  <si>
    <t>Patient 1615</t>
  </si>
  <si>
    <t>Patient 1371</t>
  </si>
  <si>
    <t>Patient 1218</t>
  </si>
  <si>
    <t>Patient 1510</t>
  </si>
  <si>
    <t>Patient 1423</t>
  </si>
  <si>
    <t>Patient 1156</t>
  </si>
  <si>
    <t>Patient 1561</t>
  </si>
  <si>
    <t>Patient 1355</t>
  </si>
  <si>
    <t>Patient 1069</t>
  </si>
  <si>
    <t>Patient 1321</t>
  </si>
  <si>
    <t>Patient 1004</t>
  </si>
  <si>
    <t>Patient 1337</t>
  </si>
  <si>
    <t>Patient 1137</t>
  </si>
  <si>
    <t>Patient 1327</t>
  </si>
  <si>
    <t>Patient 1350</t>
  </si>
  <si>
    <t>Patient 1791</t>
  </si>
  <si>
    <t>Patient 1765</t>
  </si>
  <si>
    <t>Patient 1579</t>
  </si>
  <si>
    <t>Patient 1257</t>
  </si>
  <si>
    <t>Patient 1484</t>
  </si>
  <si>
    <t>Patient 1432</t>
  </si>
  <si>
    <t>Patient 1572</t>
  </si>
  <si>
    <t>Patient 1082</t>
  </si>
  <si>
    <t>Patient 1364</t>
  </si>
  <si>
    <t>Patient 1121</t>
  </si>
  <si>
    <t>Patient 1382</t>
  </si>
  <si>
    <t>Patient 1168</t>
  </si>
  <si>
    <t>Patient 1736</t>
  </si>
  <si>
    <t>Patient 1343</t>
  </si>
  <si>
    <t>Patient 1762</t>
  </si>
  <si>
    <t>Patient 1086</t>
  </si>
  <si>
    <t>Patient 1756</t>
  </si>
  <si>
    <t>Patient 1112</t>
  </si>
  <si>
    <t>Patient 1625</t>
  </si>
  <si>
    <t>Patient 1614</t>
  </si>
  <si>
    <t>Patient 1630</t>
  </si>
  <si>
    <t>Patient 1641</t>
  </si>
  <si>
    <t>Patient 1152</t>
  </si>
  <si>
    <t>Patient 1583</t>
  </si>
  <si>
    <t>Patient 1531</t>
  </si>
  <si>
    <t>Patient 1474</t>
  </si>
  <si>
    <t>Patient 1269</t>
  </si>
  <si>
    <t>Patient 1537</t>
  </si>
  <si>
    <t>Patient 1464</t>
  </si>
  <si>
    <t>Patient 1761</t>
  </si>
  <si>
    <t>Patient 1113</t>
  </si>
  <si>
    <t>Patient 1083</t>
  </si>
  <si>
    <t>Patient 1293</t>
  </si>
  <si>
    <t>Patient 1664</t>
  </si>
  <si>
    <t>Patient 1236</t>
  </si>
  <si>
    <t>Patient 1406</t>
  </si>
  <si>
    <t>Patient 1335</t>
  </si>
  <si>
    <t>Patient 1709</t>
  </si>
  <si>
    <t>Patient 1412</t>
  </si>
  <si>
    <t>Patient 1169</t>
  </si>
  <si>
    <t>Patient 1441</t>
  </si>
  <si>
    <t>Patient 1779</t>
  </si>
  <si>
    <t>Patient 1225</t>
  </si>
  <si>
    <t>Patient 1339</t>
  </si>
  <si>
    <t>Patient 1226</t>
  </si>
  <si>
    <t>Patient 1311</t>
  </si>
  <si>
    <t>Patient 1342</t>
  </si>
  <si>
    <t>Patient 1468</t>
  </si>
  <si>
    <t>Patient 1679</t>
  </si>
  <si>
    <t>Patient 1626</t>
  </si>
  <si>
    <t>Patient 1354</t>
  </si>
  <si>
    <t>Patient 1220</t>
  </si>
  <si>
    <t>Patient 1451</t>
  </si>
  <si>
    <t>Patient 1029</t>
  </si>
  <si>
    <t>Patient 1767</t>
  </si>
  <si>
    <t>Patient 1093</t>
  </si>
  <si>
    <t>Patient 1795</t>
  </si>
  <si>
    <t>Patient 1178</t>
  </si>
  <si>
    <t>Patient 1375</t>
  </si>
  <si>
    <t>Patient 1227</t>
  </si>
  <si>
    <t>Patient 1507</t>
  </si>
  <si>
    <t>Patient 1553</t>
  </si>
  <si>
    <t>Patient 1100</t>
  </si>
  <si>
    <t>Patient 1774</t>
  </si>
  <si>
    <t>Patient 1570</t>
  </si>
  <si>
    <t>Patient 1297</t>
  </si>
  <si>
    <t>Patient 1719</t>
  </si>
  <si>
    <t>Patient 1554</t>
  </si>
  <si>
    <t>Patient 1087</t>
  </si>
  <si>
    <t>Patient 1592</t>
  </si>
  <si>
    <t>Patient 1556</t>
  </si>
  <si>
    <t>Patient 1636</t>
  </si>
  <si>
    <t>Patient 1534</t>
  </si>
  <si>
    <t>Patient 1739</t>
  </si>
  <si>
    <t>Patient 1459</t>
  </si>
  <si>
    <t>Patient 1149</t>
  </si>
  <si>
    <t>Patient 1215</t>
  </si>
  <si>
    <t>Patient 1284</t>
  </si>
  <si>
    <t>Patient 1447</t>
  </si>
  <si>
    <t>Patient 1744</t>
  </si>
  <si>
    <t>Patient 1567</t>
  </si>
  <si>
    <t>Patient 1030</t>
  </si>
  <si>
    <t>Patient 1131</t>
  </si>
  <si>
    <t>Patient 1594</t>
  </si>
  <si>
    <t>Patient 1075</t>
  </si>
  <si>
    <t>Patient 1699</t>
  </si>
  <si>
    <t>Patient 1552</t>
  </si>
  <si>
    <t>Patient 1389</t>
  </si>
  <si>
    <t>Patient 1322</t>
  </si>
  <si>
    <t>Patient 1712</t>
  </si>
  <si>
    <t>Patient 1361</t>
  </si>
  <si>
    <t>Patient 1248</t>
  </si>
  <si>
    <t>Patient 1577</t>
  </si>
  <si>
    <t>Patient 1331</t>
  </si>
  <si>
    <t>Patient 1116</t>
  </si>
  <si>
    <t>Patient 1410</t>
  </si>
  <si>
    <t>Patient 1005</t>
  </si>
  <si>
    <t>Patient 1676</t>
  </si>
  <si>
    <t>Patient 1316</t>
  </si>
  <si>
    <t>Patient 1388</t>
  </si>
  <si>
    <t>Patient 1300</t>
  </si>
  <si>
    <t>Patient 1680</t>
  </si>
  <si>
    <t>Patient 1529</t>
  </si>
  <si>
    <t>Patient 1387</t>
  </si>
  <si>
    <t>Patient 1627</t>
  </si>
  <si>
    <t>Patient 1403</t>
  </si>
  <si>
    <t>Patient 1539</t>
  </si>
  <si>
    <t>Patient 1228</t>
  </si>
  <si>
    <t>Patient 1139</t>
  </si>
  <si>
    <t>Patient 1007</t>
  </si>
  <si>
    <t>Patient 1285</t>
  </si>
  <si>
    <t>Patient 1370</t>
  </si>
  <si>
    <t>Patient 1619</t>
  </si>
  <si>
    <t>Patient 1195</t>
  </si>
  <si>
    <t>Patient 1366</t>
  </si>
  <si>
    <t>Patient 1426</t>
  </si>
  <si>
    <t>Patient 1217</t>
  </si>
  <si>
    <t>Patient 1399</t>
  </si>
  <si>
    <t>Patient 1548</t>
  </si>
  <si>
    <t>Patient 1398</t>
  </si>
  <si>
    <t>Patient 1508</t>
  </si>
  <si>
    <t>Patient 1401</t>
  </si>
  <si>
    <t>Patient 1669</t>
  </si>
  <si>
    <t>Patient 1471</t>
  </si>
  <si>
    <t>Patient 1044</t>
  </si>
  <si>
    <t>Patient 1457</t>
  </si>
  <si>
    <t>Patient 1458</t>
  </si>
  <si>
    <t>Patient 1102</t>
  </si>
  <si>
    <t>Patient 1368</t>
  </si>
  <si>
    <t>Patient 1326</t>
  </si>
  <si>
    <t>Patient 1132</t>
  </si>
  <si>
    <t>Patient 1493</t>
  </si>
  <si>
    <t>Patient 1359</t>
  </si>
  <si>
    <t>Patient 1707</t>
  </si>
  <si>
    <t>Patient 1114</t>
  </si>
  <si>
    <t>Patient 1500</t>
  </si>
  <si>
    <t>Patient 1205</t>
  </si>
  <si>
    <t>Patient 1485</t>
  </si>
  <si>
    <t>Patient 1161</t>
  </si>
  <si>
    <t>Patient 1571</t>
  </si>
  <si>
    <t>Patient 1352</t>
  </si>
  <si>
    <t>Patient 1025</t>
  </si>
  <si>
    <t>Patient 1407</t>
  </si>
  <si>
    <t>Patient 1034</t>
  </si>
  <si>
    <t>Patient 1187</t>
  </si>
  <si>
    <t>Patient 1542</t>
  </si>
  <si>
    <t>Patient 1098</t>
  </si>
  <si>
    <t>Patient 1547</t>
  </si>
  <si>
    <t>Patient 1504</t>
  </si>
  <si>
    <t>Patient 1251</t>
  </si>
  <si>
    <t>Patient 1439</t>
  </si>
  <si>
    <t>Patient 1089</t>
  </si>
  <si>
    <t>Patient 1658</t>
  </si>
  <si>
    <t>Patient 1155</t>
  </si>
  <si>
    <t>Patient 1124</t>
  </si>
  <si>
    <t>Patient 1446</t>
  </si>
  <si>
    <t>Patient 1646</t>
  </si>
  <si>
    <t>Patient 1792</t>
  </si>
  <si>
    <t>Patient 1525</t>
  </si>
  <si>
    <t>Patient 1165</t>
  </si>
  <si>
    <t>Patient 1074</t>
  </si>
  <si>
    <t>Patient 1099</t>
  </si>
  <si>
    <t>Patient 1198</t>
  </si>
  <si>
    <t>Patient 1443</t>
  </si>
  <si>
    <t>Patient 1188</t>
  </si>
  <si>
    <t>Patient 1569</t>
  </si>
  <si>
    <t>Patient 1119</t>
  </si>
  <si>
    <t>Patient 1234</t>
  </si>
  <si>
    <t>Patient 1565</t>
  </si>
  <si>
    <t>Patient 1279</t>
  </si>
  <si>
    <t>Patient 1751</t>
  </si>
  <si>
    <t>Patient 1036</t>
  </si>
  <si>
    <t>Patient 1162</t>
  </si>
  <si>
    <t>Patient 1429</t>
  </si>
  <si>
    <t>Patient 1122</t>
  </si>
  <si>
    <t>Patient 1146</t>
  </si>
  <si>
    <t>Patient 1166</t>
  </si>
  <si>
    <t>Patient 1624</t>
  </si>
  <si>
    <t>Patient 1170</t>
  </si>
  <si>
    <t>Patient 1203</t>
  </si>
  <si>
    <t>Patient 1145</t>
  </si>
  <si>
    <t>Patient 1521</t>
  </si>
  <si>
    <t>Patient 1741</t>
  </si>
  <si>
    <t>Patient 1307</t>
  </si>
  <si>
    <t>Patient 1489</t>
  </si>
  <si>
    <t>Patient 1047</t>
  </si>
  <si>
    <t>Patient 1106</t>
  </si>
  <si>
    <t>Patient 1497</t>
  </si>
  <si>
    <t>Patient 1160</t>
  </si>
  <si>
    <t>Patient 1786</t>
  </si>
  <si>
    <t>Patient 1673</t>
  </si>
  <si>
    <t>Patient 1550</t>
  </si>
  <si>
    <t>Patient 1682</t>
  </si>
  <si>
    <t>Patient 1411</t>
  </si>
  <si>
    <t>Patient 1696</t>
  </si>
  <si>
    <t>Patient 1693</t>
  </si>
  <si>
    <t>Patient 1467</t>
  </si>
  <si>
    <t>Patient 1008</t>
  </si>
  <si>
    <t>Patient 1737</t>
  </si>
  <si>
    <t>Patient 1261</t>
  </si>
  <si>
    <t>Patient 1694</t>
  </si>
  <si>
    <t>Patient 1404</t>
  </si>
  <si>
    <t>Patient 1607</t>
  </si>
  <si>
    <t>Patient 1530</t>
  </si>
  <si>
    <t>Patient 1524</t>
  </si>
  <si>
    <t>Patient 1002</t>
  </si>
  <si>
    <t>Patient 1701</t>
  </si>
  <si>
    <t>Patient 1260</t>
  </si>
  <si>
    <t>Patient 1780</t>
  </si>
  <si>
    <t>Patient 1584</t>
  </si>
  <si>
    <t>Patient 1315</t>
  </si>
  <si>
    <t>Patient 1745</t>
  </si>
  <si>
    <t>Patient 1348</t>
  </si>
  <si>
    <t>Patient 1566</t>
  </si>
  <si>
    <t>Patient 1298</t>
  </si>
  <si>
    <t>Patient 1603</t>
  </si>
  <si>
    <t>Patient 1743</t>
  </si>
  <si>
    <t>Patient 1278</t>
  </si>
  <si>
    <t>Patient 1095</t>
  </si>
  <si>
    <t>Patient 1200</t>
  </si>
  <si>
    <t>Patient 1304</t>
  </si>
  <si>
    <t>Patient 1383</t>
  </si>
  <si>
    <t>Patient 1219</t>
  </si>
  <si>
    <t>Patient 1136</t>
  </si>
  <si>
    <t>Patient 1482</t>
  </si>
  <si>
    <t>Patient 1313</t>
  </si>
  <si>
    <t>Patient 1502</t>
  </si>
  <si>
    <t>Patient 1769</t>
  </si>
  <si>
    <t>Patient 1039</t>
  </si>
  <si>
    <t>Patient 1516</t>
  </si>
  <si>
    <t>Patient 1244</t>
  </si>
  <si>
    <t>Patient 1117</t>
  </si>
  <si>
    <t>Patient 1527</t>
  </si>
  <si>
    <t>Patient 1231</t>
  </si>
  <si>
    <t>Patient 1549</t>
  </si>
  <si>
    <t>Patient 1276</t>
  </si>
  <si>
    <t>Patient 1481</t>
  </si>
  <si>
    <t>Patient 1487</t>
  </si>
  <si>
    <t>Patient 1051</t>
  </si>
  <si>
    <t>Patient 1602</t>
  </si>
  <si>
    <t>Patient 1022</t>
  </si>
  <si>
    <t>Patient 1053</t>
  </si>
  <si>
    <t>Patient 1374</t>
  </si>
  <si>
    <t>Patient 1540</t>
  </si>
  <si>
    <t>Patient 1440</t>
  </si>
  <si>
    <t>Patient 1637</t>
  </si>
  <si>
    <t>Patient 1141</t>
  </si>
  <si>
    <t>Patient 1070</t>
  </si>
  <si>
    <t>Patient 1314</t>
  </si>
  <si>
    <t>Patient 1208</t>
  </si>
  <si>
    <t>Patient 1396</t>
  </si>
  <si>
    <t>Patient 1698</t>
  </si>
  <si>
    <t>Patient 1265</t>
  </si>
  <si>
    <t>Patient 1620</t>
  </si>
  <si>
    <t>Patient 1460</t>
  </si>
  <si>
    <t>Patient 1632</t>
  </si>
  <si>
    <t>Patient 1242</t>
  </si>
  <si>
    <t>Patient 1731</t>
  </si>
  <si>
    <t>Patient 1135</t>
  </si>
  <si>
    <t>Patient 1369</t>
  </si>
  <si>
    <t>Patient 1498</t>
  </si>
  <si>
    <t>Patient 1755</t>
  </si>
  <si>
    <t>Patient 1778</t>
  </si>
  <si>
    <t>Patient 1362</t>
  </si>
  <si>
    <t>Patient 1306</t>
  </si>
  <si>
    <t>Patient 1171</t>
  </si>
  <si>
    <t>Patient 1232</t>
  </si>
  <si>
    <t>Patient 1783</t>
  </si>
  <si>
    <t>Patient 1272</t>
  </si>
  <si>
    <t>Patient 1427</t>
  </si>
  <si>
    <t>Patient 1491</t>
  </si>
  <si>
    <t>Patient 1647</t>
  </si>
  <si>
    <t>Patient 1256</t>
  </si>
  <si>
    <t>Patient 1688</t>
  </si>
  <si>
    <t>Patient 1349</t>
  </si>
  <si>
    <t>Patient 1758</t>
  </si>
  <si>
    <t>Patient 1589</t>
  </si>
  <si>
    <t>Patient 1391</t>
  </si>
  <si>
    <t>Patient 1341</t>
  </si>
  <si>
    <t>Patient 1715</t>
  </si>
  <si>
    <t>Patient 1040</t>
  </si>
  <si>
    <t>Patient 1167</t>
  </si>
  <si>
    <t>Patient 1604</t>
  </si>
  <si>
    <t>Patient 1064</t>
  </si>
  <si>
    <t>Patient 1430</t>
  </si>
  <si>
    <t>Patient 1750</t>
  </si>
  <si>
    <t>Patient 1477</t>
  </si>
  <si>
    <t>Patient 1635</t>
  </si>
  <si>
    <t>Patient 1643</t>
  </si>
  <si>
    <t>Patient 1222</t>
  </si>
  <si>
    <t>Patient 1185</t>
  </si>
  <si>
    <t>Patient 1309</t>
  </si>
  <si>
    <t>Patient 1060</t>
  </si>
  <si>
    <t>Patient 1428</t>
  </si>
  <si>
    <t>Patient 1230</t>
  </si>
  <si>
    <t>Patient 1757</t>
  </si>
  <si>
    <t>Patient 1143</t>
  </si>
  <si>
    <t>Patient 1461</t>
  </si>
  <si>
    <t>Patient 1045</t>
  </si>
  <si>
    <t>Patient 1438</t>
  </si>
  <si>
    <t>Patient 1660</t>
  </si>
  <si>
    <t>Patient 1211</t>
  </si>
  <si>
    <t>Patient 1633</t>
  </si>
  <si>
    <t>Patient 1483</t>
  </si>
  <si>
    <t>Patient 1722</t>
  </si>
  <si>
    <t>Patient 1752</t>
  </si>
  <si>
    <t>Patient 1325</t>
  </si>
  <si>
    <t>Patient 1652</t>
  </si>
  <si>
    <t>Patient 1378</t>
  </si>
  <si>
    <t>Patient 1073</t>
  </si>
  <si>
    <t>Patient 1312</t>
  </si>
  <si>
    <t>Patient 1631</t>
  </si>
  <si>
    <t>Patient 1308</t>
  </si>
  <si>
    <t>Patient 1163</t>
  </si>
  <si>
    <t>Patient 1453</t>
  </si>
  <si>
    <t>Patient 1394</t>
  </si>
  <si>
    <t>Patient 1653</t>
  </si>
  <si>
    <t>Patient 1194</t>
  </si>
  <si>
    <t>Patient 1509</t>
  </si>
  <si>
    <t>Patient 1204</t>
  </si>
  <si>
    <t>Patient 1207</t>
  </si>
  <si>
    <t>Patient 1056</t>
  </si>
  <si>
    <t>Patient 1503</t>
  </si>
  <si>
    <t>Patient 1221</t>
  </si>
  <si>
    <t>Patient 1720</t>
  </si>
  <si>
    <t>Patient 1381</t>
  </si>
  <si>
    <t>Patient 1479</t>
  </si>
  <si>
    <t>Patient 1518</t>
  </si>
  <si>
    <t>Patient 1588</t>
  </si>
  <si>
    <t>Patient 1512</t>
  </si>
  <si>
    <t>Patient 1414</t>
  </si>
  <si>
    <t>Patient 1600</t>
  </si>
  <si>
    <t>Patient 1026</t>
  </si>
  <si>
    <t>Patient 1216</t>
  </si>
  <si>
    <t>Patient 1193</t>
  </si>
  <si>
    <t>Patient 1568</t>
  </si>
  <si>
    <t>Patient 1476</t>
  </si>
  <si>
    <t>Patient 1593</t>
  </si>
  <si>
    <t>Patient 1415</t>
  </si>
  <si>
    <t>Patient 1591</t>
  </si>
  <si>
    <t>Patient 1107</t>
  </si>
  <si>
    <t>Patient 1010</t>
  </si>
  <si>
    <t>Patient 1436</t>
  </si>
  <si>
    <t>Patient 1110</t>
  </si>
  <si>
    <t>Patient 1598</t>
  </si>
  <si>
    <t>Patient 1790</t>
  </si>
  <si>
    <t>Patient 1748</t>
  </si>
  <si>
    <t>Patient 1274</t>
  </si>
  <si>
    <t>Patient 1733</t>
  </si>
  <si>
    <t>Patient 1586</t>
  </si>
  <si>
    <t>Patient 1772</t>
  </si>
  <si>
    <t>Patient 1613</t>
  </si>
  <si>
    <t>Patient 1515</t>
  </si>
  <si>
    <t>Patient 1422</t>
  </si>
  <si>
    <t>Patient 1192</t>
  </si>
  <si>
    <t>Patient 1235</t>
  </si>
  <si>
    <t>Patient 1526</t>
  </si>
  <si>
    <t>Patient 1212</t>
  </si>
  <si>
    <t>Patient 1063</t>
  </si>
  <si>
    <t>Patient 1690</t>
  </si>
  <si>
    <t>Patient 1109</t>
  </si>
  <si>
    <t>Patient 1292</t>
  </si>
  <si>
    <t>Patient 1606</t>
  </si>
  <si>
    <t>Patient 1290</t>
  </si>
  <si>
    <t>Patient 1072</t>
  </si>
  <si>
    <t>Patient 1578</t>
  </si>
  <si>
    <t>Patient 1177</t>
  </si>
  <si>
    <t>Patient 1735</t>
  </si>
  <si>
    <t>Patient 1760</t>
  </si>
  <si>
    <t>Patient 1016</t>
  </si>
  <si>
    <t>Patient 1724</t>
  </si>
  <si>
    <t>Patient 1157</t>
  </si>
  <si>
    <t>Patient 1486</t>
  </si>
  <si>
    <t>Patient 1466</t>
  </si>
  <si>
    <t>Patient 1469</t>
  </si>
  <si>
    <t>Patient 1716</t>
  </si>
  <si>
    <t>Patient 1754</t>
  </si>
  <si>
    <t>Patient 1172</t>
  </si>
  <si>
    <t>Patient 1390</t>
  </si>
  <si>
    <t>Patient 1506</t>
  </si>
  <si>
    <t>Patient 1611</t>
  </si>
  <si>
    <t>Patient 1596</t>
  </si>
  <si>
    <t>Patient 1393</t>
  </si>
  <si>
    <t>Patient 1023</t>
  </si>
  <si>
    <t>Patient 1246</t>
  </si>
  <si>
    <t>Patient 1723</t>
  </si>
  <si>
    <t>Patient 1344</t>
  </si>
  <si>
    <t>Patient 1557</t>
  </si>
  <si>
    <t>Patient 1560</t>
  </si>
  <si>
    <t>Patient 1305</t>
  </si>
  <si>
    <t>Patient 1065</t>
  </si>
  <si>
    <t>Patient 1409</t>
  </si>
  <si>
    <t>Patient 1395</t>
  </si>
  <si>
    <t>Patient 1599</t>
  </si>
  <si>
    <t>Patient 1700</t>
  </si>
  <si>
    <t>Patient 1759</t>
  </si>
  <si>
    <t>Patient 1685</t>
  </si>
  <si>
    <t>Patient 1120</t>
  </si>
  <si>
    <t>Patient 1702</t>
  </si>
  <si>
    <t>Patient 1563</t>
  </si>
  <si>
    <t>Patient 1797</t>
  </si>
  <si>
    <t>Patient 1677</t>
  </si>
  <si>
    <t>Patient 1462</t>
  </si>
  <si>
    <t>Patient 1273</t>
  </si>
  <si>
    <t>Patient 1555</t>
  </si>
  <si>
    <t>Patient 1732</t>
  </si>
  <si>
    <t>Patient 1202</t>
  </si>
  <si>
    <t>Patient 1133</t>
  </si>
  <si>
    <t>Patient 1057</t>
  </si>
  <si>
    <t>Patient 1670</t>
  </si>
  <si>
    <t>Patient 1728</t>
  </si>
  <si>
    <t>Patient 1148</t>
  </si>
  <si>
    <t>Patient 1372</t>
  </si>
  <si>
    <t>Patient 1648</t>
  </si>
  <si>
    <t>Patient 1042</t>
  </si>
  <si>
    <t>Patient 1108</t>
  </si>
  <si>
    <t>Patient 1623</t>
  </si>
  <si>
    <t>Patient 1179</t>
  </si>
  <si>
    <t>Patient 1197</t>
  </si>
  <si>
    <t>Patient 1330</t>
  </si>
  <si>
    <t>Patient 1054</t>
  </si>
  <si>
    <t>Patient 1417</t>
  </si>
  <si>
    <t>Patient 1049</t>
  </si>
  <si>
    <t>Patient 1081</t>
  </si>
  <si>
    <t>Patient 1154</t>
  </si>
  <si>
    <t>Patient 1511</t>
  </si>
  <si>
    <t>Patient 1014</t>
  </si>
  <si>
    <t>Patient 1003</t>
  </si>
  <si>
    <t>Patient 1678</t>
  </si>
  <si>
    <t>Patient 1749</t>
  </si>
  <si>
    <t>Patient 1597</t>
  </si>
  <si>
    <t>Patient 1021</t>
  </si>
  <si>
    <t>Patient 1612</t>
  </si>
  <si>
    <t>Patient 1018</t>
  </si>
  <si>
    <t>Patient 1642</t>
  </si>
  <si>
    <t>Patient 1061</t>
  </si>
  <si>
    <t>Patient 1661</t>
  </si>
  <si>
    <t>Patient 1147</t>
  </si>
  <si>
    <t>Patient 1111</t>
  </si>
  <si>
    <t>Patient 1768</t>
  </si>
  <si>
    <t>Patient 1746</t>
  </si>
  <si>
    <t>Patient 1071</t>
  </si>
  <si>
    <t>Patient 1697</t>
  </si>
  <si>
    <t>Patient 1695</t>
  </si>
  <si>
    <t>Patient 1538</t>
  </si>
  <si>
    <t>Patient 1144</t>
  </si>
  <si>
    <t>Patient 1055</t>
  </si>
  <si>
    <t>Patient 1115</t>
  </si>
  <si>
    <t>Patient 1675</t>
  </si>
  <si>
    <t>Patient 1252</t>
  </si>
  <si>
    <t>Patient 1076</t>
  </si>
  <si>
    <t>Log Date</t>
  </si>
  <si>
    <t>Shift</t>
  </si>
  <si>
    <t>Shift Hours</t>
  </si>
  <si>
    <t>Staff on Duty</t>
  </si>
  <si>
    <t>Day</t>
  </si>
  <si>
    <t>07:00-15:00</t>
  </si>
  <si>
    <t>Evening</t>
  </si>
  <si>
    <t>15:00-23:00</t>
  </si>
  <si>
    <t>Night</t>
  </si>
  <si>
    <t>23:00-07:00</t>
  </si>
  <si>
    <t>Full Department Name</t>
  </si>
  <si>
    <t>Standard Base Cost ($)</t>
  </si>
  <si>
    <t>Department Manager</t>
  </si>
  <si>
    <t>T. Alvarez</t>
  </si>
  <si>
    <t>R. Singh</t>
  </si>
  <si>
    <t>M. Chen</t>
  </si>
  <si>
    <t>J. Okafor</t>
  </si>
  <si>
    <t>General Surgery</t>
  </si>
  <si>
    <t>L. Romano</t>
  </si>
  <si>
    <t>Department Code</t>
  </si>
  <si>
    <t>Department Full Name</t>
  </si>
  <si>
    <t>1729</t>
  </si>
  <si>
    <t>MALE</t>
  </si>
  <si>
    <t>1496</t>
  </si>
  <si>
    <t>FEMALE</t>
  </si>
  <si>
    <t>1424</t>
  </si>
  <si>
    <t>1183</t>
  </si>
  <si>
    <t>1667</t>
  </si>
  <si>
    <t>1781</t>
  </si>
  <si>
    <t>1253</t>
  </si>
  <si>
    <t>1210</t>
  </si>
  <si>
    <t>1449</t>
  </si>
  <si>
    <t>1442</t>
  </si>
  <si>
    <t>1356</t>
  </si>
  <si>
    <t>1353</t>
  </si>
  <si>
    <t>1494</t>
  </si>
  <si>
    <t>1346</t>
  </si>
  <si>
    <t>1196</t>
  </si>
  <si>
    <t>1241</t>
  </si>
  <si>
    <t>1001</t>
  </si>
  <si>
    <t>1706</t>
  </si>
  <si>
    <t>1513</t>
  </si>
  <si>
    <t>1333</t>
  </si>
  <si>
    <t>1249</t>
  </si>
  <si>
    <t>1644</t>
  </si>
  <si>
    <t>1140</t>
  </si>
  <si>
    <t>1229</t>
  </si>
  <si>
    <t>1402</t>
  </si>
  <si>
    <t>1376</t>
  </si>
  <si>
    <t>1128</t>
  </si>
  <si>
    <t>1777</t>
  </si>
  <si>
    <t>1535</t>
  </si>
  <si>
    <t>1281</t>
  </si>
  <si>
    <t>1681</t>
  </si>
  <si>
    <t>1740</t>
  </si>
  <si>
    <t>1764</t>
  </si>
  <si>
    <t>1456</t>
  </si>
  <si>
    <t>1562</t>
  </si>
  <si>
    <t>1683</t>
  </si>
  <si>
    <t>1798</t>
  </si>
  <si>
    <t>1617</t>
  </si>
  <si>
    <t>1275</t>
  </si>
  <si>
    <t>1310</t>
  </si>
  <si>
    <t>1037</t>
  </si>
  <si>
    <t>1038</t>
  </si>
  <si>
    <t>1078</t>
  </si>
  <si>
    <t>1433</t>
  </si>
  <si>
    <t>1671</t>
  </si>
  <si>
    <t>1299</t>
  </si>
  <si>
    <t>1545</t>
  </si>
  <si>
    <t>1473</t>
  </si>
  <si>
    <t>1006</t>
  </si>
  <si>
    <t>1523</t>
  </si>
  <si>
    <t>1094</t>
  </si>
  <si>
    <t>1784</t>
  </si>
  <si>
    <t>1629</t>
  </si>
  <si>
    <t>1558</t>
  </si>
  <si>
    <t>1213</t>
  </si>
  <si>
    <t>1332</t>
  </si>
  <si>
    <t>1043</t>
  </si>
  <si>
    <t>1663</t>
  </si>
  <si>
    <t>1289</t>
  </si>
  <si>
    <t>1101</t>
  </si>
  <si>
    <t>1418</t>
  </si>
  <si>
    <t>1328</t>
  </si>
  <si>
    <t>1501</t>
  </si>
  <si>
    <t>1789</t>
  </si>
  <si>
    <t>1019</t>
  </si>
  <si>
    <t>1413</t>
  </si>
  <si>
    <t>1650</t>
  </si>
  <si>
    <t>1610</t>
  </si>
  <si>
    <t>1708</t>
  </si>
  <si>
    <t>1544</t>
  </si>
  <si>
    <t>1408</t>
  </si>
  <si>
    <t>1721</t>
  </si>
  <si>
    <t>1151</t>
  </si>
  <si>
    <t>1266</t>
  </si>
  <si>
    <t>1747</t>
  </si>
  <si>
    <t>1340</t>
  </si>
  <si>
    <t>1703</t>
  </si>
  <si>
    <t>1270</t>
  </si>
  <si>
    <t>1184</t>
  </si>
  <si>
    <t>1142</t>
  </si>
  <si>
    <t>1689</t>
  </si>
  <si>
    <t>1223</t>
  </si>
  <si>
    <t>1259</t>
  </si>
  <si>
    <t>1199</t>
  </si>
  <si>
    <t>1793</t>
  </si>
  <si>
    <t>1224</t>
  </si>
  <si>
    <t>1662</t>
  </si>
  <si>
    <t>1320</t>
  </si>
  <si>
    <t>1480</t>
  </si>
  <si>
    <t>1020</t>
  </si>
  <si>
    <t>1367</t>
  </si>
  <si>
    <t>1532</t>
  </si>
  <si>
    <t>1419</t>
  </si>
  <si>
    <t>1301</t>
  </si>
  <si>
    <t>1649</t>
  </si>
  <si>
    <t>1318</t>
  </si>
  <si>
    <t>1238</t>
  </si>
  <si>
    <t>1656</t>
  </si>
  <si>
    <t>1686</t>
  </si>
  <si>
    <t>1444</t>
  </si>
  <si>
    <t>1068</t>
  </si>
  <si>
    <t>1336</t>
  </si>
  <si>
    <t>1268</t>
  </si>
  <si>
    <t>1587</t>
  </si>
  <si>
    <t>1360</t>
  </si>
  <si>
    <t>1066</t>
  </si>
  <si>
    <t>1058</t>
  </si>
  <si>
    <t>1574</t>
  </si>
  <si>
    <t>1090</t>
  </si>
  <si>
    <t>1770</t>
  </si>
  <si>
    <t>1286</t>
  </si>
  <si>
    <t>1245</t>
  </si>
  <si>
    <t>1103</t>
  </si>
  <si>
    <t>1201</t>
  </si>
  <si>
    <t>1397</t>
  </si>
  <si>
    <t>1763</t>
  </si>
  <si>
    <t>1738</t>
  </si>
  <si>
    <t>1317</t>
  </si>
  <si>
    <t>1601</t>
  </si>
  <si>
    <t>1324</t>
  </si>
  <si>
    <t>1267</t>
  </si>
  <si>
    <t>1283</t>
  </si>
  <si>
    <t>1766</t>
  </si>
  <si>
    <t>1032</t>
  </si>
  <si>
    <t>1011</t>
  </si>
  <si>
    <t>1392</t>
  </si>
  <si>
    <t>1302</t>
  </si>
  <si>
    <t>1713</t>
  </si>
  <si>
    <t>1247</t>
  </si>
  <si>
    <t>1608</t>
  </si>
  <si>
    <t>1472</t>
  </si>
  <si>
    <t>1062</t>
  </si>
  <si>
    <t>1092</t>
  </si>
  <si>
    <t>1191</t>
  </si>
  <si>
    <t>1742</t>
  </si>
  <si>
    <t>1490</t>
  </si>
  <si>
    <t>1323</t>
  </si>
  <si>
    <t>1450</t>
  </si>
  <si>
    <t>1338</t>
  </si>
  <si>
    <t>1258</t>
  </si>
  <si>
    <t>1067</t>
  </si>
  <si>
    <t>1609</t>
  </si>
  <si>
    <t>1125</t>
  </si>
  <si>
    <t>1380</t>
  </si>
  <si>
    <t>1425</t>
  </si>
  <si>
    <t>1015</t>
  </si>
  <si>
    <t>1543</t>
  </si>
  <si>
    <t>1254</t>
  </si>
  <si>
    <t>1271</t>
  </si>
  <si>
    <t>1159</t>
  </si>
  <si>
    <t>1692</t>
  </si>
  <si>
    <t>1138</t>
  </si>
  <si>
    <t>1277</t>
  </si>
  <si>
    <t>1255</t>
  </si>
  <si>
    <t>1303</t>
  </si>
  <si>
    <t>1420</t>
  </si>
  <si>
    <t>1186</t>
  </si>
  <si>
    <t>1655</t>
  </si>
  <si>
    <t>1181</t>
  </si>
  <si>
    <t>1384</t>
  </si>
  <si>
    <t>1084</t>
  </si>
  <si>
    <t>1478</t>
  </si>
  <si>
    <t>1582</t>
  </si>
  <si>
    <t>1717</t>
  </si>
  <si>
    <t>1127</t>
  </si>
  <si>
    <t>1282</t>
  </si>
  <si>
    <t>1541</t>
  </si>
  <si>
    <t>1434</t>
  </si>
  <si>
    <t>1079</t>
  </si>
  <si>
    <t>1097</t>
  </si>
  <si>
    <t>1564</t>
  </si>
  <si>
    <t>1705</t>
  </si>
  <si>
    <t>1345</t>
  </si>
  <si>
    <t>1499</t>
  </si>
  <si>
    <t>1435</t>
  </si>
  <si>
    <t>1080</t>
  </si>
  <si>
    <t>1214</t>
  </si>
  <si>
    <t>1280</t>
  </si>
  <si>
    <t>1785</t>
  </si>
  <si>
    <t>1628</t>
  </si>
  <si>
    <t>1126</t>
  </si>
  <si>
    <t>1657</t>
  </si>
  <si>
    <t>1691</t>
  </si>
  <si>
    <t>1263</t>
  </si>
  <si>
    <t>1050</t>
  </si>
  <si>
    <t>1377</t>
  </si>
  <si>
    <t>1448</t>
  </si>
  <si>
    <t>1585</t>
  </si>
  <si>
    <t>1351</t>
  </si>
  <si>
    <t>1522</t>
  </si>
  <si>
    <t>1634</t>
  </si>
  <si>
    <t>1288</t>
  </si>
  <si>
    <t>1237</t>
  </si>
  <si>
    <t>1651</t>
  </si>
  <si>
    <t>1091</t>
  </si>
  <si>
    <t>1357</t>
  </si>
  <si>
    <t>1475</t>
  </si>
  <si>
    <t>1347</t>
  </si>
  <si>
    <t>1243</t>
  </si>
  <si>
    <t>1452</t>
  </si>
  <si>
    <t>1118</t>
  </si>
  <si>
    <t>1445</t>
  </si>
  <si>
    <t>1033</t>
  </si>
  <si>
    <t>1012</t>
  </si>
  <si>
    <t>1654</t>
  </si>
  <si>
    <t>1575</t>
  </si>
  <si>
    <t>1176</t>
  </si>
  <si>
    <t>1595</t>
  </si>
  <si>
    <t>1182</t>
  </si>
  <si>
    <t>1041</t>
  </si>
  <si>
    <t>1129</t>
  </si>
  <si>
    <t>1674</t>
  </si>
  <si>
    <t>1576</t>
  </si>
  <si>
    <t>1622</t>
  </si>
  <si>
    <t>1416</t>
  </si>
  <si>
    <t>1668</t>
  </si>
  <si>
    <t>1528</t>
  </si>
  <si>
    <t>1046</t>
  </si>
  <si>
    <t>1180</t>
  </si>
  <si>
    <t>1134</t>
  </si>
  <si>
    <t>1174</t>
  </si>
  <si>
    <t>1559</t>
  </si>
  <si>
    <t>1519</t>
  </si>
  <si>
    <t>1173</t>
  </si>
  <si>
    <t>1492</t>
  </si>
  <si>
    <t>1123</t>
  </si>
  <si>
    <t>1291</t>
  </si>
  <si>
    <t>1788</t>
  </si>
  <si>
    <t>1684</t>
  </si>
  <si>
    <t>1734</t>
  </si>
  <si>
    <t>1189</t>
  </si>
  <si>
    <t>1463</t>
  </si>
  <si>
    <t>1711</t>
  </si>
  <si>
    <t>1514</t>
  </si>
  <si>
    <t>1618</t>
  </si>
  <si>
    <t>1465</t>
  </si>
  <si>
    <t>1454</t>
  </si>
  <si>
    <t>1621</t>
  </si>
  <si>
    <t>1421</t>
  </si>
  <si>
    <t>1645</t>
  </si>
  <si>
    <t>1153</t>
  </si>
  <si>
    <t>1024</t>
  </si>
  <si>
    <t>1787</t>
  </si>
  <si>
    <t>1190</t>
  </si>
  <si>
    <t>1096</t>
  </si>
  <si>
    <t>1287</t>
  </si>
  <si>
    <t>1605</t>
  </si>
  <si>
    <t>1105</t>
  </si>
  <si>
    <t>1077</t>
  </si>
  <si>
    <t>1659</t>
  </si>
  <si>
    <t>1640</t>
  </si>
  <si>
    <t>1209</t>
  </si>
  <si>
    <t>1175</t>
  </si>
  <si>
    <t>1386</t>
  </si>
  <si>
    <t>1727</t>
  </si>
  <si>
    <t>1385</t>
  </si>
  <si>
    <t>1319</t>
  </si>
  <si>
    <t>1104</t>
  </si>
  <si>
    <t>1796</t>
  </si>
  <si>
    <t>1580</t>
  </si>
  <si>
    <t>1470</t>
  </si>
  <si>
    <t>1017</t>
  </si>
  <si>
    <t>1666</t>
  </si>
  <si>
    <t>1048</t>
  </si>
  <si>
    <t>1365</t>
  </si>
  <si>
    <t>1546</t>
  </si>
  <si>
    <t>1264</t>
  </si>
  <si>
    <t>1437</t>
  </si>
  <si>
    <t>1773</t>
  </si>
  <si>
    <t>1013</t>
  </si>
  <si>
    <t>1431</t>
  </si>
  <si>
    <t>1718</t>
  </si>
  <si>
    <t>1130</t>
  </si>
  <si>
    <t>1294</t>
  </si>
  <si>
    <t>1028</t>
  </si>
  <si>
    <t>1573</t>
  </si>
  <si>
    <t>1059</t>
  </si>
  <si>
    <t>1262</t>
  </si>
  <si>
    <t>1379</t>
  </si>
  <si>
    <t>1536</t>
  </si>
  <si>
    <t>1616</t>
  </si>
  <si>
    <t>1505</t>
  </si>
  <si>
    <t>1638</t>
  </si>
  <si>
    <t>1334</t>
  </si>
  <si>
    <t>1687</t>
  </si>
  <si>
    <t>1639</t>
  </si>
  <si>
    <t>1085</t>
  </si>
  <si>
    <t>1495</t>
  </si>
  <si>
    <t>1581</t>
  </si>
  <si>
    <t>1730</t>
  </si>
  <si>
    <t>1725</t>
  </si>
  <si>
    <t>1206</t>
  </si>
  <si>
    <t>1358</t>
  </si>
  <si>
    <t>1776</t>
  </si>
  <si>
    <t>1031</t>
  </si>
  <si>
    <t>1158</t>
  </si>
  <si>
    <t>1295</t>
  </si>
  <si>
    <t>1239</t>
  </si>
  <si>
    <t>1714</t>
  </si>
  <si>
    <t>1405</t>
  </si>
  <si>
    <t>1520</t>
  </si>
  <si>
    <t>1710</t>
  </si>
  <si>
    <t>1150</t>
  </si>
  <si>
    <t>1665</t>
  </si>
  <si>
    <t>1240</t>
  </si>
  <si>
    <t>1296</t>
  </si>
  <si>
    <t>1672</t>
  </si>
  <si>
    <t>1052</t>
  </si>
  <si>
    <t>1329</t>
  </si>
  <si>
    <t>1775</t>
  </si>
  <si>
    <t>1250</t>
  </si>
  <si>
    <t>1771</t>
  </si>
  <si>
    <t>1373</t>
  </si>
  <si>
    <t>1533</t>
  </si>
  <si>
    <t>1753</t>
  </si>
  <si>
    <t>1590</t>
  </si>
  <si>
    <t>1009</t>
  </si>
  <si>
    <t>1551</t>
  </si>
  <si>
    <t>1517</t>
  </si>
  <si>
    <t>1035</t>
  </si>
  <si>
    <t>1782</t>
  </si>
  <si>
    <t>1704</t>
  </si>
  <si>
    <t>1164</t>
  </si>
  <si>
    <t>1088</t>
  </si>
  <si>
    <t>1363</t>
  </si>
  <si>
    <t>1233</t>
  </si>
  <si>
    <t>1794</t>
  </si>
  <si>
    <t>1027</t>
  </si>
  <si>
    <t>1726</t>
  </si>
  <si>
    <t>1400</t>
  </si>
  <si>
    <t>1488</t>
  </si>
  <si>
    <t>1455</t>
  </si>
  <si>
    <t>1615</t>
  </si>
  <si>
    <t>1371</t>
  </si>
  <si>
    <t>1218</t>
  </si>
  <si>
    <t>1510</t>
  </si>
  <si>
    <t>1423</t>
  </si>
  <si>
    <t>1156</t>
  </si>
  <si>
    <t>1561</t>
  </si>
  <si>
    <t>1355</t>
  </si>
  <si>
    <t>1069</t>
  </si>
  <si>
    <t>1321</t>
  </si>
  <si>
    <t>1004</t>
  </si>
  <si>
    <t>1337</t>
  </si>
  <si>
    <t>1137</t>
  </si>
  <si>
    <t>1327</t>
  </si>
  <si>
    <t>1350</t>
  </si>
  <si>
    <t>1791</t>
  </si>
  <si>
    <t>1765</t>
  </si>
  <si>
    <t>1579</t>
  </si>
  <si>
    <t>1257</t>
  </si>
  <si>
    <t>1484</t>
  </si>
  <si>
    <t>1432</t>
  </si>
  <si>
    <t>1572</t>
  </si>
  <si>
    <t>1082</t>
  </si>
  <si>
    <t>1364</t>
  </si>
  <si>
    <t>1121</t>
  </si>
  <si>
    <t>1382</t>
  </si>
  <si>
    <t>1168</t>
  </si>
  <si>
    <t>1736</t>
  </si>
  <si>
    <t>1343</t>
  </si>
  <si>
    <t>1762</t>
  </si>
  <si>
    <t>1086</t>
  </si>
  <si>
    <t>1756</t>
  </si>
  <si>
    <t>1112</t>
  </si>
  <si>
    <t>1625</t>
  </si>
  <si>
    <t>1614</t>
  </si>
  <si>
    <t>1630</t>
  </si>
  <si>
    <t>1641</t>
  </si>
  <si>
    <t>1152</t>
  </si>
  <si>
    <t>1583</t>
  </si>
  <si>
    <t>1531</t>
  </si>
  <si>
    <t>1474</t>
  </si>
  <si>
    <t>1269</t>
  </si>
  <si>
    <t>1537</t>
  </si>
  <si>
    <t>1464</t>
  </si>
  <si>
    <t>1761</t>
  </si>
  <si>
    <t>1113</t>
  </si>
  <si>
    <t>1083</t>
  </si>
  <si>
    <t>1293</t>
  </si>
  <si>
    <t>1664</t>
  </si>
  <si>
    <t>1236</t>
  </si>
  <si>
    <t>1406</t>
  </si>
  <si>
    <t>1335</t>
  </si>
  <si>
    <t>1709</t>
  </si>
  <si>
    <t>1412</t>
  </si>
  <si>
    <t>1169</t>
  </si>
  <si>
    <t>1441</t>
  </si>
  <si>
    <t>1779</t>
  </si>
  <si>
    <t>1225</t>
  </si>
  <si>
    <t>1339</t>
  </si>
  <si>
    <t>1226</t>
  </si>
  <si>
    <t>1311</t>
  </si>
  <si>
    <t>1342</t>
  </si>
  <si>
    <t>1468</t>
  </si>
  <si>
    <t>1679</t>
  </si>
  <si>
    <t>1626</t>
  </si>
  <si>
    <t>1354</t>
  </si>
  <si>
    <t>1220</t>
  </si>
  <si>
    <t>1451</t>
  </si>
  <si>
    <t>1029</t>
  </si>
  <si>
    <t>1767</t>
  </si>
  <si>
    <t>1093</t>
  </si>
  <si>
    <t>1795</t>
  </si>
  <si>
    <t>1178</t>
  </si>
  <si>
    <t>1375</t>
  </si>
  <si>
    <t>1227</t>
  </si>
  <si>
    <t>1507</t>
  </si>
  <si>
    <t>1553</t>
  </si>
  <si>
    <t>1100</t>
  </si>
  <si>
    <t>1774</t>
  </si>
  <si>
    <t>1570</t>
  </si>
  <si>
    <t>1297</t>
  </si>
  <si>
    <t>1719</t>
  </si>
  <si>
    <t>1554</t>
  </si>
  <si>
    <t>1087</t>
  </si>
  <si>
    <t>1592</t>
  </si>
  <si>
    <t>1556</t>
  </si>
  <si>
    <t>1636</t>
  </si>
  <si>
    <t>1534</t>
  </si>
  <si>
    <t>1739</t>
  </si>
  <si>
    <t>1459</t>
  </si>
  <si>
    <t>1149</t>
  </si>
  <si>
    <t>1215</t>
  </si>
  <si>
    <t>1284</t>
  </si>
  <si>
    <t>1447</t>
  </si>
  <si>
    <t>1744</t>
  </si>
  <si>
    <t>1567</t>
  </si>
  <si>
    <t>1030</t>
  </si>
  <si>
    <t>1131</t>
  </si>
  <si>
    <t>1594</t>
  </si>
  <si>
    <t>1075</t>
  </si>
  <si>
    <t>1699</t>
  </si>
  <si>
    <t>1552</t>
  </si>
  <si>
    <t>1389</t>
  </si>
  <si>
    <t>1322</t>
  </si>
  <si>
    <t>1712</t>
  </si>
  <si>
    <t>1361</t>
  </si>
  <si>
    <t>1248</t>
  </si>
  <si>
    <t>1577</t>
  </si>
  <si>
    <t>1331</t>
  </si>
  <si>
    <t>1116</t>
  </si>
  <si>
    <t>1410</t>
  </si>
  <si>
    <t>1005</t>
  </si>
  <si>
    <t>1676</t>
  </si>
  <si>
    <t>1316</t>
  </si>
  <si>
    <t>1388</t>
  </si>
  <si>
    <t>1300</t>
  </si>
  <si>
    <t>1680</t>
  </si>
  <si>
    <t>1529</t>
  </si>
  <si>
    <t>1387</t>
  </si>
  <si>
    <t>1627</t>
  </si>
  <si>
    <t>1403</t>
  </si>
  <si>
    <t>1539</t>
  </si>
  <si>
    <t>1228</t>
  </si>
  <si>
    <t>1139</t>
  </si>
  <si>
    <t>1007</t>
  </si>
  <si>
    <t>1285</t>
  </si>
  <si>
    <t>1370</t>
  </si>
  <si>
    <t>1619</t>
  </si>
  <si>
    <t>1195</t>
  </si>
  <si>
    <t>1366</t>
  </si>
  <si>
    <t>1426</t>
  </si>
  <si>
    <t>1217</t>
  </si>
  <si>
    <t>1399</t>
  </si>
  <si>
    <t>1548</t>
  </si>
  <si>
    <t>1398</t>
  </si>
  <si>
    <t>1508</t>
  </si>
  <si>
    <t>1401</t>
  </si>
  <si>
    <t>1669</t>
  </si>
  <si>
    <t>1471</t>
  </si>
  <si>
    <t>1044</t>
  </si>
  <si>
    <t>1457</t>
  </si>
  <si>
    <t>1458</t>
  </si>
  <si>
    <t>1102</t>
  </si>
  <si>
    <t>1368</t>
  </si>
  <si>
    <t>1326</t>
  </si>
  <si>
    <t>1132</t>
  </si>
  <si>
    <t>1493</t>
  </si>
  <si>
    <t>1359</t>
  </si>
  <si>
    <t>1707</t>
  </si>
  <si>
    <t>1114</t>
  </si>
  <si>
    <t>1500</t>
  </si>
  <si>
    <t>1205</t>
  </si>
  <si>
    <t>1485</t>
  </si>
  <si>
    <t>1161</t>
  </si>
  <si>
    <t>1571</t>
  </si>
  <si>
    <t>1352</t>
  </si>
  <si>
    <t>1025</t>
  </si>
  <si>
    <t>1407</t>
  </si>
  <si>
    <t>1034</t>
  </si>
  <si>
    <t>1187</t>
  </si>
  <si>
    <t>1542</t>
  </si>
  <si>
    <t>1098</t>
  </si>
  <si>
    <t>1547</t>
  </si>
  <si>
    <t>1504</t>
  </si>
  <si>
    <t>1251</t>
  </si>
  <si>
    <t>1439</t>
  </si>
  <si>
    <t>1089</t>
  </si>
  <si>
    <t>1658</t>
  </si>
  <si>
    <t>1155</t>
  </si>
  <si>
    <t>1124</t>
  </si>
  <si>
    <t>1446</t>
  </si>
  <si>
    <t>1646</t>
  </si>
  <si>
    <t>1792</t>
  </si>
  <si>
    <t>1525</t>
  </si>
  <si>
    <t>1165</t>
  </si>
  <si>
    <t>1074</t>
  </si>
  <si>
    <t>1099</t>
  </si>
  <si>
    <t>1198</t>
  </si>
  <si>
    <t>1443</t>
  </si>
  <si>
    <t>1188</t>
  </si>
  <si>
    <t>1569</t>
  </si>
  <si>
    <t>1119</t>
  </si>
  <si>
    <t>1234</t>
  </si>
  <si>
    <t>1565</t>
  </si>
  <si>
    <t>1279</t>
  </si>
  <si>
    <t>1751</t>
  </si>
  <si>
    <t>1036</t>
  </si>
  <si>
    <t>1162</t>
  </si>
  <si>
    <t>1429</t>
  </si>
  <si>
    <t>1122</t>
  </si>
  <si>
    <t>1146</t>
  </si>
  <si>
    <t>1166</t>
  </si>
  <si>
    <t>1624</t>
  </si>
  <si>
    <t>1170</t>
  </si>
  <si>
    <t>1203</t>
  </si>
  <si>
    <t>1145</t>
  </si>
  <si>
    <t>1521</t>
  </si>
  <si>
    <t>1741</t>
  </si>
  <si>
    <t>1307</t>
  </si>
  <si>
    <t>1489</t>
  </si>
  <si>
    <t>1047</t>
  </si>
  <si>
    <t>1106</t>
  </si>
  <si>
    <t>1497</t>
  </si>
  <si>
    <t>1160</t>
  </si>
  <si>
    <t>1786</t>
  </si>
  <si>
    <t>1673</t>
  </si>
  <si>
    <t>1550</t>
  </si>
  <si>
    <t>1682</t>
  </si>
  <si>
    <t>1411</t>
  </si>
  <si>
    <t>1696</t>
  </si>
  <si>
    <t>1693</t>
  </si>
  <si>
    <t>1467</t>
  </si>
  <si>
    <t>1008</t>
  </si>
  <si>
    <t>1737</t>
  </si>
  <si>
    <t>1261</t>
  </si>
  <si>
    <t>1694</t>
  </si>
  <si>
    <t>1404</t>
  </si>
  <si>
    <t>1607</t>
  </si>
  <si>
    <t>1530</t>
  </si>
  <si>
    <t>1524</t>
  </si>
  <si>
    <t>1002</t>
  </si>
  <si>
    <t>1701</t>
  </si>
  <si>
    <t>1260</t>
  </si>
  <si>
    <t>1780</t>
  </si>
  <si>
    <t>1584</t>
  </si>
  <si>
    <t>1315</t>
  </si>
  <si>
    <t>1745</t>
  </si>
  <si>
    <t>1348</t>
  </si>
  <si>
    <t>1566</t>
  </si>
  <si>
    <t>1298</t>
  </si>
  <si>
    <t>1603</t>
  </si>
  <si>
    <t>1743</t>
  </si>
  <si>
    <t>1278</t>
  </si>
  <si>
    <t>1095</t>
  </si>
  <si>
    <t>1200</t>
  </si>
  <si>
    <t>1304</t>
  </si>
  <si>
    <t>1383</t>
  </si>
  <si>
    <t>1219</t>
  </si>
  <si>
    <t>1136</t>
  </si>
  <si>
    <t>1482</t>
  </si>
  <si>
    <t>1313</t>
  </si>
  <si>
    <t>1502</t>
  </si>
  <si>
    <t>1769</t>
  </si>
  <si>
    <t>1039</t>
  </si>
  <si>
    <t>1516</t>
  </si>
  <si>
    <t>1244</t>
  </si>
  <si>
    <t>1117</t>
  </si>
  <si>
    <t>1527</t>
  </si>
  <si>
    <t>1231</t>
  </si>
  <si>
    <t>1549</t>
  </si>
  <si>
    <t>1276</t>
  </si>
  <si>
    <t>1481</t>
  </si>
  <si>
    <t>1487</t>
  </si>
  <si>
    <t>1051</t>
  </si>
  <si>
    <t>1602</t>
  </si>
  <si>
    <t>1022</t>
  </si>
  <si>
    <t>1053</t>
  </si>
  <si>
    <t>1374</t>
  </si>
  <si>
    <t>1540</t>
  </si>
  <si>
    <t>1440</t>
  </si>
  <si>
    <t>1637</t>
  </si>
  <si>
    <t>1141</t>
  </si>
  <si>
    <t>1070</t>
  </si>
  <si>
    <t>1314</t>
  </si>
  <si>
    <t>1208</t>
  </si>
  <si>
    <t>1396</t>
  </si>
  <si>
    <t>1698</t>
  </si>
  <si>
    <t>1265</t>
  </si>
  <si>
    <t>1620</t>
  </si>
  <si>
    <t>1460</t>
  </si>
  <si>
    <t>1632</t>
  </si>
  <si>
    <t>1242</t>
  </si>
  <si>
    <t>1731</t>
  </si>
  <si>
    <t>1135</t>
  </si>
  <si>
    <t>1369</t>
  </si>
  <si>
    <t>1498</t>
  </si>
  <si>
    <t>1755</t>
  </si>
  <si>
    <t>1778</t>
  </si>
  <si>
    <t>1362</t>
  </si>
  <si>
    <t>1306</t>
  </si>
  <si>
    <t>1171</t>
  </si>
  <si>
    <t>1232</t>
  </si>
  <si>
    <t>1783</t>
  </si>
  <si>
    <t>1272</t>
  </si>
  <si>
    <t>1427</t>
  </si>
  <si>
    <t>1491</t>
  </si>
  <si>
    <t>1647</t>
  </si>
  <si>
    <t>1256</t>
  </si>
  <si>
    <t>1688</t>
  </si>
  <si>
    <t>1349</t>
  </si>
  <si>
    <t>1758</t>
  </si>
  <si>
    <t>1589</t>
  </si>
  <si>
    <t>1391</t>
  </si>
  <si>
    <t>1341</t>
  </si>
  <si>
    <t>1715</t>
  </si>
  <si>
    <t>1040</t>
  </si>
  <si>
    <t>1167</t>
  </si>
  <si>
    <t>1604</t>
  </si>
  <si>
    <t>1064</t>
  </si>
  <si>
    <t>1430</t>
  </si>
  <si>
    <t>1750</t>
  </si>
  <si>
    <t>1477</t>
  </si>
  <si>
    <t>1635</t>
  </si>
  <si>
    <t>1643</t>
  </si>
  <si>
    <t>1222</t>
  </si>
  <si>
    <t>1185</t>
  </si>
  <si>
    <t>1309</t>
  </si>
  <si>
    <t>1060</t>
  </si>
  <si>
    <t>1428</t>
  </si>
  <si>
    <t>1230</t>
  </si>
  <si>
    <t>1757</t>
  </si>
  <si>
    <t>1143</t>
  </si>
  <si>
    <t>1461</t>
  </si>
  <si>
    <t>1045</t>
  </si>
  <si>
    <t>1438</t>
  </si>
  <si>
    <t>1660</t>
  </si>
  <si>
    <t>1211</t>
  </si>
  <si>
    <t>1633</t>
  </si>
  <si>
    <t>1483</t>
  </si>
  <si>
    <t>1722</t>
  </si>
  <si>
    <t>1752</t>
  </si>
  <si>
    <t>1325</t>
  </si>
  <si>
    <t>1652</t>
  </si>
  <si>
    <t>1378</t>
  </si>
  <si>
    <t>1073</t>
  </si>
  <si>
    <t>1312</t>
  </si>
  <si>
    <t>1631</t>
  </si>
  <si>
    <t>1308</t>
  </si>
  <si>
    <t>1163</t>
  </si>
  <si>
    <t>1453</t>
  </si>
  <si>
    <t>1394</t>
  </si>
  <si>
    <t>1653</t>
  </si>
  <si>
    <t>1194</t>
  </si>
  <si>
    <t>1509</t>
  </si>
  <si>
    <t>1204</t>
  </si>
  <si>
    <t>1207</t>
  </si>
  <si>
    <t>1056</t>
  </si>
  <si>
    <t>1503</t>
  </si>
  <si>
    <t>1221</t>
  </si>
  <si>
    <t>1720</t>
  </si>
  <si>
    <t>1381</t>
  </si>
  <si>
    <t>1479</t>
  </si>
  <si>
    <t>1518</t>
  </si>
  <si>
    <t>1588</t>
  </si>
  <si>
    <t>1512</t>
  </si>
  <si>
    <t>1414</t>
  </si>
  <si>
    <t>1600</t>
  </si>
  <si>
    <t>1026</t>
  </si>
  <si>
    <t>1216</t>
  </si>
  <si>
    <t>1193</t>
  </si>
  <si>
    <t>1568</t>
  </si>
  <si>
    <t>1476</t>
  </si>
  <si>
    <t>1593</t>
  </si>
  <si>
    <t>1415</t>
  </si>
  <si>
    <t>1591</t>
  </si>
  <si>
    <t>1107</t>
  </si>
  <si>
    <t>1010</t>
  </si>
  <si>
    <t>1436</t>
  </si>
  <si>
    <t>1110</t>
  </si>
  <si>
    <t>1598</t>
  </si>
  <si>
    <t>1790</t>
  </si>
  <si>
    <t>1748</t>
  </si>
  <si>
    <t>1274</t>
  </si>
  <si>
    <t>1733</t>
  </si>
  <si>
    <t>1586</t>
  </si>
  <si>
    <t>1772</t>
  </si>
  <si>
    <t>1613</t>
  </si>
  <si>
    <t>1515</t>
  </si>
  <si>
    <t>1422</t>
  </si>
  <si>
    <t>1192</t>
  </si>
  <si>
    <t>1235</t>
  </si>
  <si>
    <t>1526</t>
  </si>
  <si>
    <t>1212</t>
  </si>
  <si>
    <t>1063</t>
  </si>
  <si>
    <t>1690</t>
  </si>
  <si>
    <t>1109</t>
  </si>
  <si>
    <t>1292</t>
  </si>
  <si>
    <t>1606</t>
  </si>
  <si>
    <t>1290</t>
  </si>
  <si>
    <t>1072</t>
  </si>
  <si>
    <t>1578</t>
  </si>
  <si>
    <t>1177</t>
  </si>
  <si>
    <t>1735</t>
  </si>
  <si>
    <t>1760</t>
  </si>
  <si>
    <t>1016</t>
  </si>
  <si>
    <t>1724</t>
  </si>
  <si>
    <t>1157</t>
  </si>
  <si>
    <t>1486</t>
  </si>
  <si>
    <t>1466</t>
  </si>
  <si>
    <t>1469</t>
  </si>
  <si>
    <t>1716</t>
  </si>
  <si>
    <t>1754</t>
  </si>
  <si>
    <t>1172</t>
  </si>
  <si>
    <t>1390</t>
  </si>
  <si>
    <t>1506</t>
  </si>
  <si>
    <t>1611</t>
  </si>
  <si>
    <t>1596</t>
  </si>
  <si>
    <t>1393</t>
  </si>
  <si>
    <t>1023</t>
  </si>
  <si>
    <t>1246</t>
  </si>
  <si>
    <t>1723</t>
  </si>
  <si>
    <t>1344</t>
  </si>
  <si>
    <t>1557</t>
  </si>
  <si>
    <t>1560</t>
  </si>
  <si>
    <t>1305</t>
  </si>
  <si>
    <t>1065</t>
  </si>
  <si>
    <t>1409</t>
  </si>
  <si>
    <t>1395</t>
  </si>
  <si>
    <t>1599</t>
  </si>
  <si>
    <t>1700</t>
  </si>
  <si>
    <t>1759</t>
  </si>
  <si>
    <t>1685</t>
  </si>
  <si>
    <t>1120</t>
  </si>
  <si>
    <t>1702</t>
  </si>
  <si>
    <t>1563</t>
  </si>
  <si>
    <t>1797</t>
  </si>
  <si>
    <t>1677</t>
  </si>
  <si>
    <t>1462</t>
  </si>
  <si>
    <t>1273</t>
  </si>
  <si>
    <t>1555</t>
  </si>
  <si>
    <t>1732</t>
  </si>
  <si>
    <t>1202</t>
  </si>
  <si>
    <t>1133</t>
  </si>
  <si>
    <t>1057</t>
  </si>
  <si>
    <t>1670</t>
  </si>
  <si>
    <t>1728</t>
  </si>
  <si>
    <t>1148</t>
  </si>
  <si>
    <t>1372</t>
  </si>
  <si>
    <t>1648</t>
  </si>
  <si>
    <t>1042</t>
  </si>
  <si>
    <t>1108</t>
  </si>
  <si>
    <t>1623</t>
  </si>
  <si>
    <t>1179</t>
  </si>
  <si>
    <t>1197</t>
  </si>
  <si>
    <t>1330</t>
  </si>
  <si>
    <t>1054</t>
  </si>
  <si>
    <t>1417</t>
  </si>
  <si>
    <t>1049</t>
  </si>
  <si>
    <t>1081</t>
  </si>
  <si>
    <t>1154</t>
  </si>
  <si>
    <t>1511</t>
  </si>
  <si>
    <t>1014</t>
  </si>
  <si>
    <t>1003</t>
  </si>
  <si>
    <t>1678</t>
  </si>
  <si>
    <t>1749</t>
  </si>
  <si>
    <t>1597</t>
  </si>
  <si>
    <t>1021</t>
  </si>
  <si>
    <t>1612</t>
  </si>
  <si>
    <t>1018</t>
  </si>
  <si>
    <t>1642</t>
  </si>
  <si>
    <t>1061</t>
  </si>
  <si>
    <t>1661</t>
  </si>
  <si>
    <t>1147</t>
  </si>
  <si>
    <t>1111</t>
  </si>
  <si>
    <t>1768</t>
  </si>
  <si>
    <t>1746</t>
  </si>
  <si>
    <t>1071</t>
  </si>
  <si>
    <t>1697</t>
  </si>
  <si>
    <t>1695</t>
  </si>
  <si>
    <t>1538</t>
  </si>
  <si>
    <t>1144</t>
  </si>
  <si>
    <t>1055</t>
  </si>
  <si>
    <t>1115</t>
  </si>
  <si>
    <t>1675</t>
  </si>
  <si>
    <t>1252</t>
  </si>
  <si>
    <t>1076</t>
  </si>
  <si>
    <t>Shift Type</t>
  </si>
  <si>
    <t>Grand Total</t>
  </si>
  <si>
    <t>Row Labels</t>
  </si>
  <si>
    <t>Average of Satisfaction (1-5)</t>
  </si>
  <si>
    <t>Department</t>
  </si>
  <si>
    <t>Avg Satisfaction</t>
  </si>
  <si>
    <t>vs. 3.8 Target</t>
  </si>
  <si>
    <t>Avg Charge</t>
  </si>
  <si>
    <t>Base Cost</t>
  </si>
  <si>
    <t>vs Base Cost</t>
  </si>
  <si>
    <t>Readmission Rate</t>
  </si>
  <si>
    <t>Overall Avg Satisfaction</t>
  </si>
  <si>
    <t>Overall Readmission Rate</t>
  </si>
  <si>
    <t>Avg Charge vs Base</t>
  </si>
  <si>
    <t>Overall Avg Wait time (min)</t>
  </si>
  <si>
    <t>Average of Treatment Time (min)</t>
  </si>
  <si>
    <t>Treatment Time vs Satisfaction Score (Combo Chart)</t>
  </si>
  <si>
    <t>Wait Time vs Satisfaction Score (Scatterplot)</t>
  </si>
  <si>
    <t>CARD (Day)</t>
  </si>
  <si>
    <t>CARD (Evening)</t>
  </si>
  <si>
    <t>CARD (Night)</t>
  </si>
  <si>
    <t>ER (Day)</t>
  </si>
  <si>
    <t>ER (Evening)</t>
  </si>
  <si>
    <t>ER (Night)</t>
  </si>
  <si>
    <t>ORTH (Day)</t>
  </si>
  <si>
    <t>ORTH (Evening)</t>
  </si>
  <si>
    <t>ORTH (Night)</t>
  </si>
  <si>
    <t>PEDS (Day)</t>
  </si>
  <si>
    <t>PEDS (Evening)</t>
  </si>
  <si>
    <t>PEDS (Night)</t>
  </si>
  <si>
    <t>SURG (Day)</t>
  </si>
  <si>
    <t>SURG (Evening)</t>
  </si>
  <si>
    <t>SURG (Night)</t>
  </si>
  <si>
    <t>Patient Satisfaction and Hospital Cost Performance (Q1 2026)</t>
  </si>
  <si>
    <t>Avg Wait Time (min)</t>
  </si>
  <si>
    <t>Avg Treatment Time (min)</t>
  </si>
  <si>
    <t>Average Wait Time (min)</t>
  </si>
  <si>
    <t>Average Treatment Time (min)</t>
  </si>
  <si>
    <t>Average Satisfaction</t>
  </si>
  <si>
    <t>Versus 3.8 Target</t>
  </si>
  <si>
    <t>Average Charge</t>
  </si>
  <si>
    <t>Average Base Cost</t>
  </si>
  <si>
    <t>Department Performance Summary</t>
  </si>
  <si>
    <t>Over/Under Base Cost</t>
  </si>
  <si>
    <t>Staffing</t>
  </si>
  <si>
    <t>Wait Time</t>
  </si>
  <si>
    <t>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</si>
</sst>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h:mm;@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0.74999237037263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3" tint="0.89999084444715716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  <xf numFmtId="10" fontId="3" fillId="0" borderId="0" xfId="0" applyNumberFormat="1" applyFont="1"/>
    <xf numFmtId="2" fontId="3" fillId="0" borderId="0" xfId="0" applyNumberFormat="1" applyFont="1"/>
    <xf numFmtId="2" fontId="5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0" fontId="0" fillId="3" borderId="4" xfId="0" applyNumberFormat="1" applyFill="1" applyBorder="1" applyAlignment="1">
      <alignment horizontal="center"/>
    </xf>
    <xf numFmtId="10" fontId="0" fillId="3" borderId="2" xfId="0" applyNumberForma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40"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C00000"/>
      </font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h:mm;@"/>
    </dxf>
    <dxf>
      <numFmt numFmtId="166" formatCode="h:mm;@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E5F44"/>
      <color rgb="FFFF7979"/>
      <color rgb="FFFF5F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Wait Time v Satisfaction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658290224697734E-2"/>
          <c:y val="0.2310732516411457"/>
          <c:w val="0.85480083672552587"/>
          <c:h val="0.6966683871605685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2.3763998250218774E-2"/>
                  <c:y val="-0.11574074074074074"/>
                </c:manualLayout>
              </c:layout>
              <c:tx>
                <c:rich>
                  <a:bodyPr/>
                  <a:lstStyle/>
                  <a:p>
                    <a:fld id="{33DE86D8-E1BD-4CF1-B74D-2B65AB9C47E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E8434B5-6CF5-45A4-81BF-7224FFEEC3F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DA2-41F7-AAAC-8627442753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27A30E-BDA0-4963-9B6B-EA3FB0470CB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A272463-6146-409C-9967-BDC4D4580B5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DA2-41F7-AAAC-86274427535D}"/>
                </c:ext>
              </c:extLst>
            </c:dLbl>
            <c:dLbl>
              <c:idx val="2"/>
              <c:layout>
                <c:manualLayout>
                  <c:x val="4.0645669291338532E-2"/>
                  <c:y val="-1.3888888888888911E-2"/>
                </c:manualLayout>
              </c:layout>
              <c:tx>
                <c:rich>
                  <a:bodyPr/>
                  <a:lstStyle/>
                  <a:p>
                    <a:fld id="{DCF98F9F-4AB6-4505-BAF5-235804A9013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CD4B452-DF6B-4409-9CFE-F73A86444A2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DA2-41F7-AAAC-8627442753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4C8264-874A-4ED4-A126-EB512044B03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CF83B94-0450-47EE-BEDC-1430945F1F9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DA2-41F7-AAAC-86274427535D}"/>
                </c:ext>
              </c:extLst>
            </c:dLbl>
            <c:dLbl>
              <c:idx val="4"/>
              <c:layout>
                <c:manualLayout>
                  <c:x val="-9.3958442694663274E-2"/>
                  <c:y val="8.3333333333333245E-2"/>
                </c:manualLayout>
              </c:layout>
              <c:tx>
                <c:rich>
                  <a:bodyPr/>
                  <a:lstStyle/>
                  <a:p>
                    <a:fld id="{D562B12F-68FF-4418-B8CC-DC184A1FA44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68DD2F3-3963-4366-BFA7-B43646A3004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DA2-41F7-AAAC-8627442753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B2BD9B-B7CB-4C25-A5E8-75D272E7B05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AC5C5FE-3B6D-4EEC-B3AA-A461C993AC0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DA2-41F7-AAAC-86274427535D}"/>
                </c:ext>
              </c:extLst>
            </c:dLbl>
            <c:dLbl>
              <c:idx val="6"/>
              <c:layout>
                <c:manualLayout>
                  <c:x val="-0.12320144356955386"/>
                  <c:y val="0.1111111111111111"/>
                </c:manualLayout>
              </c:layout>
              <c:tx>
                <c:rich>
                  <a:bodyPr/>
                  <a:lstStyle/>
                  <a:p>
                    <a:fld id="{039E83CD-6C22-41C9-A94D-B9FFC03895C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24C1195-7125-4D50-8EA2-83C4FED7A30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DA2-41F7-AAAC-86274427535D}"/>
                </c:ext>
              </c:extLst>
            </c:dLbl>
            <c:dLbl>
              <c:idx val="7"/>
              <c:layout>
                <c:manualLayout>
                  <c:x val="-2.3756999125109462E-2"/>
                  <c:y val="-0.13425925925925927"/>
                </c:manualLayout>
              </c:layout>
              <c:tx>
                <c:rich>
                  <a:bodyPr/>
                  <a:lstStyle/>
                  <a:p>
                    <a:fld id="{F055A382-1E88-4D4C-B82E-3D555EC8A07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3C0467F-31F5-4A2B-B675-0D5AE186EDF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DA2-41F7-AAAC-86274427535D}"/>
                </c:ext>
              </c:extLst>
            </c:dLbl>
            <c:dLbl>
              <c:idx val="8"/>
              <c:layout>
                <c:manualLayout>
                  <c:x val="-0.16712510936132988"/>
                  <c:y val="0.11111111111111102"/>
                </c:manualLayout>
              </c:layout>
              <c:tx>
                <c:rich>
                  <a:bodyPr/>
                  <a:lstStyle/>
                  <a:p>
                    <a:fld id="{415E08E2-1F4D-41A0-9630-E2223C9F8E5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335196F-5C26-4990-9B85-4AF32CA8392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DA2-41F7-AAAC-86274427535D}"/>
                </c:ext>
              </c:extLst>
            </c:dLbl>
            <c:dLbl>
              <c:idx val="9"/>
              <c:layout>
                <c:manualLayout>
                  <c:x val="-0.15781255468066491"/>
                  <c:y val="-8.7962962962963007E-2"/>
                </c:manualLayout>
              </c:layout>
              <c:tx>
                <c:rich>
                  <a:bodyPr/>
                  <a:lstStyle/>
                  <a:p>
                    <a:fld id="{F63E0C84-2915-4A95-8EBC-292B85FB314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6FA7FFA-1C67-482B-AA3B-F8EB4C5741E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DA2-41F7-AAAC-86274427535D}"/>
                </c:ext>
              </c:extLst>
            </c:dLbl>
            <c:dLbl>
              <c:idx val="10"/>
              <c:layout>
                <c:manualLayout>
                  <c:x val="0.12496522309711286"/>
                  <c:y val="-0.23148148148148148"/>
                </c:manualLayout>
              </c:layout>
              <c:tx>
                <c:rich>
                  <a:bodyPr/>
                  <a:lstStyle/>
                  <a:p>
                    <a:fld id="{53B186BB-0083-4926-90B5-0805291371B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A3B98DC-2C0F-422D-A604-19AD1820FFE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DA2-41F7-AAAC-86274427535D}"/>
                </c:ext>
              </c:extLst>
            </c:dLbl>
            <c:dLbl>
              <c:idx val="11"/>
              <c:layout>
                <c:manualLayout>
                  <c:x val="-0.12354877515310586"/>
                  <c:y val="0.29166666666666669"/>
                </c:manualLayout>
              </c:layout>
              <c:tx>
                <c:rich>
                  <a:bodyPr/>
                  <a:lstStyle/>
                  <a:p>
                    <a:fld id="{0EFCF673-22BF-4431-B642-72E9DD605C5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E63E5A4-BEB1-4703-BFAD-131719CA01A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DA2-41F7-AAAC-86274427535D}"/>
                </c:ext>
              </c:extLst>
            </c:dLbl>
            <c:dLbl>
              <c:idx val="12"/>
              <c:layout>
                <c:manualLayout>
                  <c:x val="-0.10420844269466317"/>
                  <c:y val="-0.16666666666666666"/>
                </c:manualLayout>
              </c:layout>
              <c:tx>
                <c:rich>
                  <a:bodyPr/>
                  <a:lstStyle/>
                  <a:p>
                    <a:fld id="{8EE6371D-468B-47D8-8106-65409EB1446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851D851-056F-4B4B-BC60-7DCC9B6210B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DA2-41F7-AAAC-86274427535D}"/>
                </c:ext>
              </c:extLst>
            </c:dLbl>
            <c:dLbl>
              <c:idx val="13"/>
              <c:layout>
                <c:manualLayout>
                  <c:x val="-6.0677821522309709E-2"/>
                  <c:y val="0.11574074074074074"/>
                </c:manualLayout>
              </c:layout>
              <c:tx>
                <c:rich>
                  <a:bodyPr/>
                  <a:lstStyle/>
                  <a:p>
                    <a:fld id="{FDDD3619-A268-4C4B-B847-6F4C5B7782F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95CF1CF-FF18-4ECE-BF69-3D555789174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DA2-41F7-AAAC-86274427535D}"/>
                </c:ext>
              </c:extLst>
            </c:dLbl>
            <c:dLbl>
              <c:idx val="14"/>
              <c:layout>
                <c:manualLayout>
                  <c:x val="-9.0988626421697289E-4"/>
                  <c:y val="-0.17592592592592596"/>
                </c:manualLayout>
              </c:layout>
              <c:tx>
                <c:rich>
                  <a:bodyPr/>
                  <a:lstStyle/>
                  <a:p>
                    <a:fld id="{D39D34CC-1B6F-414A-A628-2AE1ECDDB27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5BAD128-9754-47FB-A26F-8BD8F40C3D9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DA2-41F7-AAAC-8627442753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Dashboard_Calculator!$F$17:$F$31</c:f>
              <c:numCache>
                <c:formatCode>0.00</c:formatCode>
                <c:ptCount val="15"/>
                <c:pt idx="0">
                  <c:v>37.942307692307693</c:v>
                </c:pt>
                <c:pt idx="1">
                  <c:v>48.20967741935484</c:v>
                </c:pt>
                <c:pt idx="2">
                  <c:v>35.909090909090907</c:v>
                </c:pt>
                <c:pt idx="3">
                  <c:v>48.307692307692307</c:v>
                </c:pt>
                <c:pt idx="4">
                  <c:v>62.758389261744966</c:v>
                </c:pt>
                <c:pt idx="5">
                  <c:v>49.304347826086953</c:v>
                </c:pt>
                <c:pt idx="6">
                  <c:v>52.521739130434781</c:v>
                </c:pt>
                <c:pt idx="7">
                  <c:v>76.351851851851848</c:v>
                </c:pt>
                <c:pt idx="8">
                  <c:v>52.272727272727273</c:v>
                </c:pt>
                <c:pt idx="9">
                  <c:v>33.824561403508774</c:v>
                </c:pt>
                <c:pt idx="10">
                  <c:v>43.149253731343286</c:v>
                </c:pt>
                <c:pt idx="11">
                  <c:v>33.642857142857146</c:v>
                </c:pt>
                <c:pt idx="12">
                  <c:v>58.431034482758619</c:v>
                </c:pt>
                <c:pt idx="13">
                  <c:v>81.406779661016955</c:v>
                </c:pt>
                <c:pt idx="14">
                  <c:v>64.400000000000006</c:v>
                </c:pt>
              </c:numCache>
            </c:numRef>
          </c:xVal>
          <c:yVal>
            <c:numRef>
              <c:f>Dashboard_Calculator!$G$17:$G$31</c:f>
              <c:numCache>
                <c:formatCode>0.00</c:formatCode>
                <c:ptCount val="15"/>
                <c:pt idx="0">
                  <c:v>3.7227272727272731</c:v>
                </c:pt>
                <c:pt idx="1">
                  <c:v>3.4581818181818194</c:v>
                </c:pt>
                <c:pt idx="2">
                  <c:v>4.1875</c:v>
                </c:pt>
                <c:pt idx="3">
                  <c:v>3.5333333333333332</c:v>
                </c:pt>
                <c:pt idx="4">
                  <c:v>3.3962406015037594</c:v>
                </c:pt>
                <c:pt idx="5">
                  <c:v>3.5782608695652174</c:v>
                </c:pt>
                <c:pt idx="6">
                  <c:v>3.2930232558139534</c:v>
                </c:pt>
                <c:pt idx="7">
                  <c:v>3.2634615384615393</c:v>
                </c:pt>
                <c:pt idx="8">
                  <c:v>3.5545454545454547</c:v>
                </c:pt>
                <c:pt idx="9">
                  <c:v>3.8425925925925921</c:v>
                </c:pt>
                <c:pt idx="10">
                  <c:v>3.7032786885245903</c:v>
                </c:pt>
                <c:pt idx="11">
                  <c:v>3.778571428571428</c:v>
                </c:pt>
                <c:pt idx="12">
                  <c:v>3.4249999999999994</c:v>
                </c:pt>
                <c:pt idx="13">
                  <c:v>2.9553571428571437</c:v>
                </c:pt>
                <c:pt idx="14">
                  <c:v>3.4799999999999995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Dashboard_Calculator!$E$17:$E$31</c15:f>
                <c15:dlblRangeCache>
                  <c:ptCount val="15"/>
                  <c:pt idx="0">
                    <c:v>CARD (Day)</c:v>
                  </c:pt>
                  <c:pt idx="1">
                    <c:v>CARD (Evening)</c:v>
                  </c:pt>
                  <c:pt idx="2">
                    <c:v>CARD (Night)</c:v>
                  </c:pt>
                  <c:pt idx="3">
                    <c:v>ER (Day)</c:v>
                  </c:pt>
                  <c:pt idx="4">
                    <c:v>ER (Evening)</c:v>
                  </c:pt>
                  <c:pt idx="5">
                    <c:v>ER (Night)</c:v>
                  </c:pt>
                  <c:pt idx="6">
                    <c:v>ORTH (Day)</c:v>
                  </c:pt>
                  <c:pt idx="7">
                    <c:v>ORTH (Evening)</c:v>
                  </c:pt>
                  <c:pt idx="8">
                    <c:v>ORTH (Night)</c:v>
                  </c:pt>
                  <c:pt idx="9">
                    <c:v>PEDS (Day)</c:v>
                  </c:pt>
                  <c:pt idx="10">
                    <c:v>PEDS (Evening)</c:v>
                  </c:pt>
                  <c:pt idx="11">
                    <c:v>PEDS (Night)</c:v>
                  </c:pt>
                  <c:pt idx="12">
                    <c:v>SURG (Day)</c:v>
                  </c:pt>
                  <c:pt idx="13">
                    <c:v>SURG (Evening)</c:v>
                  </c:pt>
                  <c:pt idx="14">
                    <c:v>SURG (Night)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DA2-41F7-AAAC-862744275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981775"/>
        <c:axId val="1740968815"/>
      </c:scatterChart>
      <c:valAx>
        <c:axId val="1740981775"/>
        <c:scaling>
          <c:orientation val="minMax"/>
          <c:min val="2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68815"/>
        <c:crosses val="autoZero"/>
        <c:crossBetween val="midCat"/>
      </c:valAx>
      <c:valAx>
        <c:axId val="1740968815"/>
        <c:scaling>
          <c:orientation val="minMax"/>
          <c:min val="2.5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8177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[hospital_patientsatisfaction_dashboard.xlsx]Dashboard_Calculator!PivotTable2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Treatment Time</a:t>
            </a:r>
            <a:r>
              <a:rPr lang="en-CA" baseline="0"/>
              <a:t> v Satisfaction Score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Dashboard_Calculator!$B$17</c:f>
              <c:strCache>
                <c:ptCount val="1"/>
                <c:pt idx="0">
                  <c:v>Average of Treatment Time (min)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Dashboard_Calculator!$A$18:$A$38</c:f>
              <c:multiLvlStrCache>
                <c:ptCount val="15"/>
                <c:lvl>
                  <c:pt idx="0">
                    <c:v>Day</c:v>
                  </c:pt>
                  <c:pt idx="1">
                    <c:v>Evening</c:v>
                  </c:pt>
                  <c:pt idx="2">
                    <c:v>Night</c:v>
                  </c:pt>
                  <c:pt idx="3">
                    <c:v>Day</c:v>
                  </c:pt>
                  <c:pt idx="4">
                    <c:v>Evening</c:v>
                  </c:pt>
                  <c:pt idx="5">
                    <c:v>Night</c:v>
                  </c:pt>
                  <c:pt idx="6">
                    <c:v>Day</c:v>
                  </c:pt>
                  <c:pt idx="7">
                    <c:v>Evening</c:v>
                  </c:pt>
                  <c:pt idx="8">
                    <c:v>Night</c:v>
                  </c:pt>
                  <c:pt idx="9">
                    <c:v>Day</c:v>
                  </c:pt>
                  <c:pt idx="10">
                    <c:v>Evening</c:v>
                  </c:pt>
                  <c:pt idx="11">
                    <c:v>Night</c:v>
                  </c:pt>
                  <c:pt idx="12">
                    <c:v>Day</c:v>
                  </c:pt>
                  <c:pt idx="13">
                    <c:v>Evening</c:v>
                  </c:pt>
                  <c:pt idx="14">
                    <c:v>Night</c:v>
                  </c:pt>
                </c:lvl>
                <c:lvl>
                  <c:pt idx="0">
                    <c:v>CARD</c:v>
                  </c:pt>
                  <c:pt idx="3">
                    <c:v>ER</c:v>
                  </c:pt>
                  <c:pt idx="6">
                    <c:v>ORTH</c:v>
                  </c:pt>
                  <c:pt idx="9">
                    <c:v>PEDS</c:v>
                  </c:pt>
                  <c:pt idx="12">
                    <c:v>SURG</c:v>
                  </c:pt>
                </c:lvl>
              </c:multiLvlStrCache>
            </c:multiLvlStrRef>
          </c:cat>
          <c:val>
            <c:numRef>
              <c:f>Dashboard_Calculator!$B$18:$B$38</c:f>
              <c:numCache>
                <c:formatCode>0.00</c:formatCode>
                <c:ptCount val="15"/>
                <c:pt idx="0">
                  <c:v>43.403846153846153</c:v>
                </c:pt>
                <c:pt idx="1">
                  <c:v>43.467741935483872</c:v>
                </c:pt>
                <c:pt idx="2">
                  <c:v>45.454545454545453</c:v>
                </c:pt>
                <c:pt idx="3">
                  <c:v>37.244755244755247</c:v>
                </c:pt>
                <c:pt idx="4">
                  <c:v>42.268456375838923</c:v>
                </c:pt>
                <c:pt idx="5">
                  <c:v>39.608695652173914</c:v>
                </c:pt>
                <c:pt idx="6">
                  <c:v>37.782608695652172</c:v>
                </c:pt>
                <c:pt idx="7">
                  <c:v>41.629629629629626</c:v>
                </c:pt>
                <c:pt idx="8">
                  <c:v>43.81818181818182</c:v>
                </c:pt>
                <c:pt idx="9">
                  <c:v>40.666666666666664</c:v>
                </c:pt>
                <c:pt idx="10">
                  <c:v>41.71641791044776</c:v>
                </c:pt>
                <c:pt idx="11">
                  <c:v>38.571428571428569</c:v>
                </c:pt>
                <c:pt idx="12">
                  <c:v>90.15517241379311</c:v>
                </c:pt>
                <c:pt idx="13">
                  <c:v>88.525423728813564</c:v>
                </c:pt>
                <c:pt idx="14">
                  <c:v>90.2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3-4EF5-A1F1-9A88BC311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752767999"/>
        <c:axId val="752757439"/>
      </c:barChart>
      <c:lineChart>
        <c:grouping val="standard"/>
        <c:varyColors val="0"/>
        <c:ser>
          <c:idx val="1"/>
          <c:order val="1"/>
          <c:tx>
            <c:strRef>
              <c:f>Dashboard_Calculator!$C$17</c:f>
              <c:strCache>
                <c:ptCount val="1"/>
                <c:pt idx="0">
                  <c:v>Average of Satisfaction (1-5)</c:v>
                </c:pt>
              </c:strCache>
            </c:strRef>
          </c:tx>
          <c:spPr>
            <a:ln w="349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</c:marker>
          <c:cat>
            <c:multiLvlStrRef>
              <c:f>Dashboard_Calculator!$A$18:$A$38</c:f>
              <c:multiLvlStrCache>
                <c:ptCount val="15"/>
                <c:lvl>
                  <c:pt idx="0">
                    <c:v>Day</c:v>
                  </c:pt>
                  <c:pt idx="1">
                    <c:v>Evening</c:v>
                  </c:pt>
                  <c:pt idx="2">
                    <c:v>Night</c:v>
                  </c:pt>
                  <c:pt idx="3">
                    <c:v>Day</c:v>
                  </c:pt>
                  <c:pt idx="4">
                    <c:v>Evening</c:v>
                  </c:pt>
                  <c:pt idx="5">
                    <c:v>Night</c:v>
                  </c:pt>
                  <c:pt idx="6">
                    <c:v>Day</c:v>
                  </c:pt>
                  <c:pt idx="7">
                    <c:v>Evening</c:v>
                  </c:pt>
                  <c:pt idx="8">
                    <c:v>Night</c:v>
                  </c:pt>
                  <c:pt idx="9">
                    <c:v>Day</c:v>
                  </c:pt>
                  <c:pt idx="10">
                    <c:v>Evening</c:v>
                  </c:pt>
                  <c:pt idx="11">
                    <c:v>Night</c:v>
                  </c:pt>
                  <c:pt idx="12">
                    <c:v>Day</c:v>
                  </c:pt>
                  <c:pt idx="13">
                    <c:v>Evening</c:v>
                  </c:pt>
                  <c:pt idx="14">
                    <c:v>Night</c:v>
                  </c:pt>
                </c:lvl>
                <c:lvl>
                  <c:pt idx="0">
                    <c:v>CARD</c:v>
                  </c:pt>
                  <c:pt idx="3">
                    <c:v>ER</c:v>
                  </c:pt>
                  <c:pt idx="6">
                    <c:v>ORTH</c:v>
                  </c:pt>
                  <c:pt idx="9">
                    <c:v>PEDS</c:v>
                  </c:pt>
                  <c:pt idx="12">
                    <c:v>SURG</c:v>
                  </c:pt>
                </c:lvl>
              </c:multiLvlStrCache>
            </c:multiLvlStrRef>
          </c:cat>
          <c:val>
            <c:numRef>
              <c:f>Dashboard_Calculator!$C$18:$C$38</c:f>
              <c:numCache>
                <c:formatCode>0.00</c:formatCode>
                <c:ptCount val="15"/>
                <c:pt idx="0">
                  <c:v>3.7227272727272731</c:v>
                </c:pt>
                <c:pt idx="1">
                  <c:v>3.4581818181818194</c:v>
                </c:pt>
                <c:pt idx="2">
                  <c:v>4.1875</c:v>
                </c:pt>
                <c:pt idx="3">
                  <c:v>3.5333333333333332</c:v>
                </c:pt>
                <c:pt idx="4">
                  <c:v>3.3962406015037594</c:v>
                </c:pt>
                <c:pt idx="5">
                  <c:v>3.5782608695652174</c:v>
                </c:pt>
                <c:pt idx="6">
                  <c:v>3.2930232558139534</c:v>
                </c:pt>
                <c:pt idx="7">
                  <c:v>3.2634615384615393</c:v>
                </c:pt>
                <c:pt idx="8">
                  <c:v>3.5545454545454547</c:v>
                </c:pt>
                <c:pt idx="9">
                  <c:v>3.8425925925925921</c:v>
                </c:pt>
                <c:pt idx="10">
                  <c:v>3.7032786885245903</c:v>
                </c:pt>
                <c:pt idx="11">
                  <c:v>3.778571428571428</c:v>
                </c:pt>
                <c:pt idx="12">
                  <c:v>3.4249999999999994</c:v>
                </c:pt>
                <c:pt idx="13">
                  <c:v>2.9553571428571437</c:v>
                </c:pt>
                <c:pt idx="14">
                  <c:v>3.4799999999999995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3-4EF5-A1F1-9A88BC311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762239"/>
        <c:axId val="752761279"/>
      </c:lineChart>
      <c:catAx>
        <c:axId val="75276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57439"/>
        <c:crosses val="autoZero"/>
        <c:auto val="1"/>
        <c:lblAlgn val="ctr"/>
        <c:lblOffset val="100"/>
        <c:noMultiLvlLbl val="0"/>
      </c:catAx>
      <c:valAx>
        <c:axId val="75275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67999"/>
        <c:crosses val="autoZero"/>
        <c:crossBetween val="between"/>
      </c:valAx>
      <c:valAx>
        <c:axId val="752761279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62239"/>
        <c:crosses val="max"/>
        <c:crossBetween val="between"/>
      </c:valAx>
      <c:catAx>
        <c:axId val="752762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2761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Total Patient</a:t>
            </a:r>
            <a:r>
              <a:rPr lang="en-CA" baseline="0"/>
              <a:t> Visits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Dashboard_Calculator!$L$15</c:f>
              <c:strCache>
                <c:ptCount val="1"/>
                <c:pt idx="0">
                  <c:v>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Dashboard_Calculator!$K$16:$K$20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Dashboard_Calculator!$L$16:$L$20</c:f>
              <c:numCache>
                <c:formatCode>General</c:formatCode>
                <c:ptCount val="5"/>
                <c:pt idx="0">
                  <c:v>52</c:v>
                </c:pt>
                <c:pt idx="1">
                  <c:v>143</c:v>
                </c:pt>
                <c:pt idx="2">
                  <c:v>58</c:v>
                </c:pt>
                <c:pt idx="3">
                  <c:v>46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2FC-80BD-4E5D69DB3D42}"/>
            </c:ext>
          </c:extLst>
        </c:ser>
        <c:ser>
          <c:idx val="1"/>
          <c:order val="1"/>
          <c:tx>
            <c:strRef>
              <c:f>Dashboard_Calculator!$M$15</c:f>
              <c:strCache>
                <c:ptCount val="1"/>
                <c:pt idx="0">
                  <c:v>Evening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Dashboard_Calculator!$K$16:$K$20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Dashboard_Calculator!$M$16:$M$20</c:f>
              <c:numCache>
                <c:formatCode>General</c:formatCode>
                <c:ptCount val="5"/>
                <c:pt idx="0">
                  <c:v>62</c:v>
                </c:pt>
                <c:pt idx="1">
                  <c:v>149</c:v>
                </c:pt>
                <c:pt idx="2">
                  <c:v>59</c:v>
                </c:pt>
                <c:pt idx="3">
                  <c:v>54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8-42FC-80BD-4E5D69DB3D42}"/>
            </c:ext>
          </c:extLst>
        </c:ser>
        <c:ser>
          <c:idx val="2"/>
          <c:order val="2"/>
          <c:tx>
            <c:strRef>
              <c:f>Dashboard_Calculator!$N$15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Dashboard_Calculator!$K$16:$K$20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Dashboard_Calculator!$N$16:$N$20</c:f>
              <c:numCache>
                <c:formatCode>General</c:formatCode>
                <c:ptCount val="5"/>
                <c:pt idx="0">
                  <c:v>11</c:v>
                </c:pt>
                <c:pt idx="1">
                  <c:v>23</c:v>
                </c:pt>
                <c:pt idx="2">
                  <c:v>10</c:v>
                </c:pt>
                <c:pt idx="3">
                  <c:v>11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8-42FC-80BD-4E5D69DB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4936575"/>
        <c:axId val="1084935615"/>
      </c:barChart>
      <c:catAx>
        <c:axId val="108493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35615"/>
        <c:crosses val="autoZero"/>
        <c:auto val="1"/>
        <c:lblAlgn val="ctr"/>
        <c:lblOffset val="100"/>
        <c:noMultiLvlLbl val="0"/>
      </c:catAx>
      <c:valAx>
        <c:axId val="108493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3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Staff on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Dashboard_Calculator!$L$8</c:f>
              <c:strCache>
                <c:ptCount val="1"/>
                <c:pt idx="0">
                  <c:v>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Dashboard_Calculator!$K$9:$K$13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Dashboard_Calculator!$L$9:$L$13</c:f>
              <c:numCache>
                <c:formatCode>0.00</c:formatCode>
                <c:ptCount val="5"/>
                <c:pt idx="0">
                  <c:v>5.6923076923076925</c:v>
                </c:pt>
                <c:pt idx="1">
                  <c:v>6.3706293706293708</c:v>
                </c:pt>
                <c:pt idx="2">
                  <c:v>8.8275862068965516</c:v>
                </c:pt>
                <c:pt idx="3">
                  <c:v>5.1956521739130439</c:v>
                </c:pt>
                <c:pt idx="4">
                  <c:v>5.7719298245614032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6-4E9E-A66E-27A8CB196F40}"/>
            </c:ext>
          </c:extLst>
        </c:ser>
        <c:ser>
          <c:idx val="1"/>
          <c:order val="1"/>
          <c:tx>
            <c:strRef>
              <c:f>Dashboard_Calculator!$M$8</c:f>
              <c:strCache>
                <c:ptCount val="1"/>
                <c:pt idx="0">
                  <c:v>Evening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Dashboard_Calculator!$K$9:$K$13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Dashboard_Calculator!$M$9:$M$13</c:f>
              <c:numCache>
                <c:formatCode>0.00</c:formatCode>
                <c:ptCount val="5"/>
                <c:pt idx="0">
                  <c:v>4.887096774193548</c:v>
                </c:pt>
                <c:pt idx="1">
                  <c:v>9.5033557046979862</c:v>
                </c:pt>
                <c:pt idx="2">
                  <c:v>5.593220338983051</c:v>
                </c:pt>
                <c:pt idx="3">
                  <c:v>5</c:v>
                </c:pt>
                <c:pt idx="4">
                  <c:v>4.5373134328358207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6-4E9E-A66E-27A8CB196F40}"/>
            </c:ext>
          </c:extLst>
        </c:ser>
        <c:ser>
          <c:idx val="2"/>
          <c:order val="2"/>
          <c:tx>
            <c:strRef>
              <c:f>Dashboard_Calculator!$N$8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Dashboard_Calculator!$K$9:$K$13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Dashboard_Calculator!$N$9:$N$13</c:f>
              <c:numCache>
                <c:formatCode>0.00</c:formatCode>
                <c:ptCount val="5"/>
                <c:pt idx="0">
                  <c:v>3.5454545454545454</c:v>
                </c:pt>
                <c:pt idx="1">
                  <c:v>5.2608695652173916</c:v>
                </c:pt>
                <c:pt idx="2">
                  <c:v>2.2999999999999998</c:v>
                </c:pt>
                <c:pt idx="3">
                  <c:v>2.6363636363636362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56-4E9E-A66E-27A8CB196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697748256"/>
        <c:axId val="697749696"/>
      </c:barChart>
      <c:catAx>
        <c:axId val="6977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49696"/>
        <c:crosses val="autoZero"/>
        <c:auto val="1"/>
        <c:lblAlgn val="ctr"/>
        <c:lblOffset val="100"/>
        <c:noMultiLvlLbl val="0"/>
      </c:catAx>
      <c:valAx>
        <c:axId val="6977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4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Wait Time</a:t>
            </a:r>
            <a:r>
              <a:rPr lang="en-CA" baseline="0"/>
              <a:t> vs Average Satisfaction Score 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4.2881220342634301E-2"/>
                  <c:y val="-0.10322167688072995"/>
                </c:manualLayout>
              </c:layout>
              <c:tx>
                <c:rich>
                  <a:bodyPr/>
                  <a:lstStyle/>
                  <a:p>
                    <a:fld id="{BCD0D9F8-9125-4ADE-B4D5-CBD67BB3040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6C05FA5-926D-4856-9827-4931F5B7E21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8D6-434F-BCE6-3031328B8451}"/>
                </c:ext>
              </c:extLst>
            </c:dLbl>
            <c:dLbl>
              <c:idx val="1"/>
              <c:layout>
                <c:manualLayout>
                  <c:x val="-0.18560871703893908"/>
                  <c:y val="7.3226470935182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8839B9A-1E3A-4119-998F-794E94593BEA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F0C5BCFE-9226-4110-8231-4C54A13211F0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8D6-434F-BCE6-3031328B8451}"/>
                </c:ext>
              </c:extLst>
            </c:dLbl>
            <c:dLbl>
              <c:idx val="2"/>
              <c:layout>
                <c:manualLayout>
                  <c:x val="4.0645669291338532E-2"/>
                  <c:y val="-1.3888888888888911E-2"/>
                </c:manualLayout>
              </c:layout>
              <c:tx>
                <c:rich>
                  <a:bodyPr/>
                  <a:lstStyle/>
                  <a:p>
                    <a:fld id="{4E3AE51C-3CE4-461E-9B41-87C84EF8278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3DFCBA8-28E1-4981-9AB8-F34FC2C949A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8D6-434F-BCE6-3031328B8451}"/>
                </c:ext>
              </c:extLst>
            </c:dLbl>
            <c:dLbl>
              <c:idx val="3"/>
              <c:layout>
                <c:manualLayout>
                  <c:x val="-0.17433845578462995"/>
                  <c:y val="-5.5936297627913923E-17"/>
                </c:manualLayout>
              </c:layout>
              <c:tx>
                <c:rich>
                  <a:bodyPr/>
                  <a:lstStyle/>
                  <a:p>
                    <a:fld id="{625F7BEA-DC5A-46D0-9115-35AB7F9561A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D6CEDA1-BBE4-449A-BB72-5A0C07C3FC2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8D6-434F-BCE6-3031328B8451}"/>
                </c:ext>
              </c:extLst>
            </c:dLbl>
            <c:dLbl>
              <c:idx val="4"/>
              <c:layout>
                <c:manualLayout>
                  <c:x val="-4.2979231502191621E-2"/>
                  <c:y val="0.120890675514802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A304EB1-2681-4085-9374-7A8B657A0D62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3B468653-DD1A-40B3-93AC-B527D76FBA83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8D6-434F-BCE6-3031328B8451}"/>
                </c:ext>
              </c:extLst>
            </c:dLbl>
            <c:dLbl>
              <c:idx val="5"/>
              <c:layout>
                <c:manualLayout>
                  <c:x val="-3.5908378632831299E-2"/>
                  <c:y val="-7.9328622082288885E-2"/>
                </c:manualLayout>
              </c:layout>
              <c:tx>
                <c:rich>
                  <a:bodyPr/>
                  <a:lstStyle/>
                  <a:p>
                    <a:fld id="{57512274-2538-4586-932C-FAF0BE5F76C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11CAC7F-7BD5-4675-AAAE-6D33D4BDA6B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8D6-434F-BCE6-3031328B8451}"/>
                </c:ext>
              </c:extLst>
            </c:dLbl>
            <c:dLbl>
              <c:idx val="6"/>
              <c:layout>
                <c:manualLayout>
                  <c:x val="-2.2614987913350777E-2"/>
                  <c:y val="0.1487096633220003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53AA5BE-4A59-4DD6-9BC2-E21DA068B96D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7004298B-7356-4102-BF02-AF913B2503F0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8D6-434F-BCE6-3031328B8451}"/>
                </c:ext>
              </c:extLst>
            </c:dLbl>
            <c:dLbl>
              <c:idx val="7"/>
              <c:layout>
                <c:manualLayout>
                  <c:x val="-2.3756999125109462E-2"/>
                  <c:y val="-0.1342592592592592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49F85C-B9BE-48AB-91DA-51BB72005DA7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DB2D388B-4D55-4C5A-828C-863D84C0DCA5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8D6-434F-BCE6-3031328B8451}"/>
                </c:ext>
              </c:extLst>
            </c:dLbl>
            <c:dLbl>
              <c:idx val="8"/>
              <c:layout>
                <c:manualLayout>
                  <c:x val="-0.18581444012128626"/>
                  <c:y val="0.17181871442451804"/>
                </c:manualLayout>
              </c:layout>
              <c:tx>
                <c:rich>
                  <a:bodyPr/>
                  <a:lstStyle/>
                  <a:p>
                    <a:fld id="{801CCF5A-5AAE-4922-A792-346DF52EAF1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D6D5568-EB60-402F-A079-87EFAA7D79A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8D6-434F-BCE6-3031328B8451}"/>
                </c:ext>
              </c:extLst>
            </c:dLbl>
            <c:dLbl>
              <c:idx val="9"/>
              <c:layout>
                <c:manualLayout>
                  <c:x val="-0.15144012011551936"/>
                  <c:y val="-9.2135877763769108E-2"/>
                </c:manualLayout>
              </c:layout>
              <c:tx>
                <c:rich>
                  <a:bodyPr/>
                  <a:lstStyle/>
                  <a:p>
                    <a:fld id="{A0D1B20C-3BFF-46AF-989B-84EF3F4F11F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011F7A7-8A47-4035-A9BF-C90BFF2D2F6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8D6-434F-BCE6-3031328B8451}"/>
                </c:ext>
              </c:extLst>
            </c:dLbl>
            <c:dLbl>
              <c:idx val="10"/>
              <c:layout>
                <c:manualLayout>
                  <c:x val="0.12496523196281062"/>
                  <c:y val="-0.16471306483342549"/>
                </c:manualLayout>
              </c:layout>
              <c:tx>
                <c:rich>
                  <a:bodyPr/>
                  <a:lstStyle/>
                  <a:p>
                    <a:fld id="{A5F81E14-B392-41B1-9BE7-6700ACB8C05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E110066-5ECD-4C3F-8195-0A8776C4EDC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8D6-434F-BCE6-3031328B8451}"/>
                </c:ext>
              </c:extLst>
            </c:dLbl>
            <c:dLbl>
              <c:idx val="11"/>
              <c:layout>
                <c:manualLayout>
                  <c:x val="-0.12354877515310586"/>
                  <c:y val="0.29166666666666669"/>
                </c:manualLayout>
              </c:layout>
              <c:tx>
                <c:rich>
                  <a:bodyPr/>
                  <a:lstStyle/>
                  <a:p>
                    <a:fld id="{C13F85AC-2A73-45D3-AC92-1D5FB295801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C1FBF30-A418-4A4F-98DD-6B0C35E72B5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8D6-434F-BCE6-3031328B8451}"/>
                </c:ext>
              </c:extLst>
            </c:dLbl>
            <c:dLbl>
              <c:idx val="12"/>
              <c:layout>
                <c:manualLayout>
                  <c:x val="2.1324953657940958E-4"/>
                  <c:y val="-0.1773931581384084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AB80920-2A2C-418D-BCC8-BB366870E804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68D49EE4-9802-47F5-87A5-6CA363CA3AB8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8D6-434F-BCE6-3031328B8451}"/>
                </c:ext>
              </c:extLst>
            </c:dLbl>
            <c:dLbl>
              <c:idx val="13"/>
              <c:layout>
                <c:manualLayout>
                  <c:x val="-6.0677821522309709E-2"/>
                  <c:y val="0.1157407407407407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23BC56-6048-4487-BA30-9CB94759C648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25B22430-7119-45B5-A48A-97172F23E5B9}" type="YVALUE">
                      <a:rPr lang="en-US" baseline="0"/>
                      <a:pPr>
                        <a:defRPr/>
                      </a:pPr>
                      <a:t>[Y VALUE]</a:t>
                    </a:fld>
                    <a:endParaRPr lang="en-US" baseline="0"/>
                  </a:p>
                </c:rich>
              </c:tx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8D6-434F-BCE6-3031328B8451}"/>
                </c:ext>
              </c:extLst>
            </c:dLbl>
            <c:dLbl>
              <c:idx val="14"/>
              <c:layout>
                <c:manualLayout>
                  <c:x val="0.11804156308732476"/>
                  <c:y val="-0.14254179518445609"/>
                </c:manualLayout>
              </c:layout>
              <c:tx>
                <c:rich>
                  <a:bodyPr/>
                  <a:lstStyle/>
                  <a:p>
                    <a:fld id="{D727C58C-1B89-4F40-AAFD-698DE3AA66B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126D557-0DCF-4DC5-BFE7-67C83FFA143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8D6-434F-BCE6-3031328B84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tx2">
                    <a:lumMod val="25000"/>
                    <a:lumOff val="75000"/>
                    <a:alpha val="65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Dashboard_Calculator!$F$17:$F$31</c:f>
              <c:numCache>
                <c:formatCode>0.00</c:formatCode>
                <c:ptCount val="15"/>
                <c:pt idx="0">
                  <c:v>37.942307692307693</c:v>
                </c:pt>
                <c:pt idx="1">
                  <c:v>48.20967741935484</c:v>
                </c:pt>
                <c:pt idx="2">
                  <c:v>35.909090909090907</c:v>
                </c:pt>
                <c:pt idx="3">
                  <c:v>48.307692307692307</c:v>
                </c:pt>
                <c:pt idx="4">
                  <c:v>62.758389261744966</c:v>
                </c:pt>
                <c:pt idx="5">
                  <c:v>49.304347826086953</c:v>
                </c:pt>
                <c:pt idx="6">
                  <c:v>52.521739130434781</c:v>
                </c:pt>
                <c:pt idx="7">
                  <c:v>76.351851851851848</c:v>
                </c:pt>
                <c:pt idx="8">
                  <c:v>52.272727272727273</c:v>
                </c:pt>
                <c:pt idx="9">
                  <c:v>33.824561403508774</c:v>
                </c:pt>
                <c:pt idx="10">
                  <c:v>43.149253731343286</c:v>
                </c:pt>
                <c:pt idx="11">
                  <c:v>33.642857142857146</c:v>
                </c:pt>
                <c:pt idx="12">
                  <c:v>58.431034482758619</c:v>
                </c:pt>
                <c:pt idx="13">
                  <c:v>81.406779661016955</c:v>
                </c:pt>
                <c:pt idx="14">
                  <c:v>64.400000000000006</c:v>
                </c:pt>
              </c:numCache>
            </c:numRef>
          </c:xVal>
          <c:yVal>
            <c:numRef>
              <c:f>Dashboard_Calculator!$G$17:$G$31</c:f>
              <c:numCache>
                <c:formatCode>0.00</c:formatCode>
                <c:ptCount val="15"/>
                <c:pt idx="0">
                  <c:v>3.7227272727272731</c:v>
                </c:pt>
                <c:pt idx="1">
                  <c:v>3.4581818181818194</c:v>
                </c:pt>
                <c:pt idx="2">
                  <c:v>4.1875</c:v>
                </c:pt>
                <c:pt idx="3">
                  <c:v>3.5333333333333332</c:v>
                </c:pt>
                <c:pt idx="4">
                  <c:v>3.3962406015037594</c:v>
                </c:pt>
                <c:pt idx="5">
                  <c:v>3.5782608695652174</c:v>
                </c:pt>
                <c:pt idx="6">
                  <c:v>3.2930232558139534</c:v>
                </c:pt>
                <c:pt idx="7">
                  <c:v>3.2634615384615393</c:v>
                </c:pt>
                <c:pt idx="8">
                  <c:v>3.5545454545454547</c:v>
                </c:pt>
                <c:pt idx="9">
                  <c:v>3.8425925925925921</c:v>
                </c:pt>
                <c:pt idx="10">
                  <c:v>3.7032786885245903</c:v>
                </c:pt>
                <c:pt idx="11">
                  <c:v>3.778571428571428</c:v>
                </c:pt>
                <c:pt idx="12">
                  <c:v>3.4249999999999994</c:v>
                </c:pt>
                <c:pt idx="13">
                  <c:v>2.9553571428571437</c:v>
                </c:pt>
                <c:pt idx="14">
                  <c:v>3.4799999999999995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Dashboard_Calculator!$E$17:$E$31</c15:f>
                <c15:dlblRangeCache>
                  <c:ptCount val="15"/>
                  <c:pt idx="0">
                    <c:v>CARD (Day)</c:v>
                  </c:pt>
                  <c:pt idx="1">
                    <c:v>CARD (Evening)</c:v>
                  </c:pt>
                  <c:pt idx="2">
                    <c:v>CARD (Night)</c:v>
                  </c:pt>
                  <c:pt idx="3">
                    <c:v>ER (Day)</c:v>
                  </c:pt>
                  <c:pt idx="4">
                    <c:v>ER (Evening)</c:v>
                  </c:pt>
                  <c:pt idx="5">
                    <c:v>ER (Night)</c:v>
                  </c:pt>
                  <c:pt idx="6">
                    <c:v>ORTH (Day)</c:v>
                  </c:pt>
                  <c:pt idx="7">
                    <c:v>ORTH (Evening)</c:v>
                  </c:pt>
                  <c:pt idx="8">
                    <c:v>ORTH (Night)</c:v>
                  </c:pt>
                  <c:pt idx="9">
                    <c:v>PEDS (Day)</c:v>
                  </c:pt>
                  <c:pt idx="10">
                    <c:v>PEDS (Evening)</c:v>
                  </c:pt>
                  <c:pt idx="11">
                    <c:v>PEDS (Night)</c:v>
                  </c:pt>
                  <c:pt idx="12">
                    <c:v>SURG (Day)</c:v>
                  </c:pt>
                  <c:pt idx="13">
                    <c:v>SURG (Evening)</c:v>
                  </c:pt>
                  <c:pt idx="14">
                    <c:v>SURG (Night)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18D6-434F-BCE6-3031328B8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981775"/>
        <c:axId val="1740968815"/>
      </c:scatterChart>
      <c:valAx>
        <c:axId val="1740981775"/>
        <c:scaling>
          <c:orientation val="minMax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WAIT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68815"/>
        <c:crosses val="autoZero"/>
        <c:crossBetween val="midCat"/>
      </c:valAx>
      <c:valAx>
        <c:axId val="1740968815"/>
        <c:scaling>
          <c:orientation val="minMax"/>
          <c:min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SATISFACTION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8177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 sz="1400"/>
              <a:t>Total Patient 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Dashboard_Calculator!$L$15</c:f>
              <c:strCache>
                <c:ptCount val="1"/>
                <c:pt idx="0">
                  <c:v>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Dashboard_Calculator!$K$16:$K$20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Dashboard_Calculator!$L$16:$L$20</c:f>
              <c:numCache>
                <c:formatCode>General</c:formatCode>
                <c:ptCount val="5"/>
                <c:pt idx="0">
                  <c:v>52</c:v>
                </c:pt>
                <c:pt idx="1">
                  <c:v>143</c:v>
                </c:pt>
                <c:pt idx="2">
                  <c:v>58</c:v>
                </c:pt>
                <c:pt idx="3">
                  <c:v>46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9-49C2-B8FA-C8F55DB9E0FB}"/>
            </c:ext>
          </c:extLst>
        </c:ser>
        <c:ser>
          <c:idx val="1"/>
          <c:order val="1"/>
          <c:tx>
            <c:strRef>
              <c:f>Dashboard_Calculator!$M$15</c:f>
              <c:strCache>
                <c:ptCount val="1"/>
                <c:pt idx="0">
                  <c:v>Evening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Dashboard_Calculator!$K$16:$K$20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Dashboard_Calculator!$M$16:$M$20</c:f>
              <c:numCache>
                <c:formatCode>General</c:formatCode>
                <c:ptCount val="5"/>
                <c:pt idx="0">
                  <c:v>62</c:v>
                </c:pt>
                <c:pt idx="1">
                  <c:v>149</c:v>
                </c:pt>
                <c:pt idx="2">
                  <c:v>59</c:v>
                </c:pt>
                <c:pt idx="3">
                  <c:v>54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9-49C2-B8FA-C8F55DB9E0FB}"/>
            </c:ext>
          </c:extLst>
        </c:ser>
        <c:ser>
          <c:idx val="2"/>
          <c:order val="2"/>
          <c:tx>
            <c:strRef>
              <c:f>Dashboard_Calculator!$N$15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Dashboard_Calculator!$K$16:$K$20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Dashboard_Calculator!$N$16:$N$20</c:f>
              <c:numCache>
                <c:formatCode>General</c:formatCode>
                <c:ptCount val="5"/>
                <c:pt idx="0">
                  <c:v>11</c:v>
                </c:pt>
                <c:pt idx="1">
                  <c:v>23</c:v>
                </c:pt>
                <c:pt idx="2">
                  <c:v>10</c:v>
                </c:pt>
                <c:pt idx="3">
                  <c:v>11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C9-49C2-B8FA-C8F55DB9E0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4936575"/>
        <c:axId val="1084935615"/>
      </c:barChart>
      <c:catAx>
        <c:axId val="108493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35615"/>
        <c:crosses val="autoZero"/>
        <c:auto val="1"/>
        <c:lblAlgn val="ctr"/>
        <c:lblOffset val="100"/>
        <c:noMultiLvlLbl val="0"/>
      </c:catAx>
      <c:valAx>
        <c:axId val="1084935615"/>
        <c:scaling>
          <c:orientation val="minMax"/>
          <c:max val="150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PATIENT VISITS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3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Average Staff on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Dashboard_Calculator!$L$8</c:f>
              <c:strCache>
                <c:ptCount val="1"/>
                <c:pt idx="0">
                  <c:v>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Dashboard_Calculator!$K$9:$K$13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Dashboard_Calculator!$L$9:$L$13</c:f>
              <c:numCache>
                <c:formatCode>0.00</c:formatCode>
                <c:ptCount val="5"/>
                <c:pt idx="0">
                  <c:v>5.6923076923076925</c:v>
                </c:pt>
                <c:pt idx="1">
                  <c:v>6.3706293706293708</c:v>
                </c:pt>
                <c:pt idx="2">
                  <c:v>8.8275862068965516</c:v>
                </c:pt>
                <c:pt idx="3">
                  <c:v>5.1956521739130439</c:v>
                </c:pt>
                <c:pt idx="4">
                  <c:v>5.7719298245614032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3-4092-9496-68C7FB076AC8}"/>
            </c:ext>
          </c:extLst>
        </c:ser>
        <c:ser>
          <c:idx val="1"/>
          <c:order val="1"/>
          <c:tx>
            <c:strRef>
              <c:f>Dashboard_Calculator!$M$8</c:f>
              <c:strCache>
                <c:ptCount val="1"/>
                <c:pt idx="0">
                  <c:v>Evening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Dashboard_Calculator!$K$9:$K$13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Dashboard_Calculator!$M$9:$M$13</c:f>
              <c:numCache>
                <c:formatCode>0.00</c:formatCode>
                <c:ptCount val="5"/>
                <c:pt idx="0">
                  <c:v>4.887096774193548</c:v>
                </c:pt>
                <c:pt idx="1">
                  <c:v>9.5033557046979862</c:v>
                </c:pt>
                <c:pt idx="2">
                  <c:v>5.593220338983051</c:v>
                </c:pt>
                <c:pt idx="3">
                  <c:v>5</c:v>
                </c:pt>
                <c:pt idx="4">
                  <c:v>4.5373134328358207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3-4092-9496-68C7FB076AC8}"/>
            </c:ext>
          </c:extLst>
        </c:ser>
        <c:ser>
          <c:idx val="2"/>
          <c:order val="2"/>
          <c:tx>
            <c:strRef>
              <c:f>Dashboard_Calculator!$N$8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Dashboard_Calculator!$K$9:$K$13</c:f>
              <c:strCache>
                <c:ptCount val="5"/>
                <c:pt idx="0">
                  <c:v>Cardiology</c:v>
                </c:pt>
                <c:pt idx="1">
                  <c:v>Emergency</c:v>
                </c:pt>
                <c:pt idx="2">
                  <c:v>General Surgery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Dashboard_Calculator!$N$9:$N$13</c:f>
              <c:numCache>
                <c:formatCode>0.00</c:formatCode>
                <c:ptCount val="5"/>
                <c:pt idx="0">
                  <c:v>3.5454545454545454</c:v>
                </c:pt>
                <c:pt idx="1">
                  <c:v>5.2608695652173916</c:v>
                </c:pt>
                <c:pt idx="2">
                  <c:v>2.2999999999999998</c:v>
                </c:pt>
                <c:pt idx="3">
                  <c:v>2.6363636363636362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F3-4092-9496-68C7FB076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3"/>
        <c:axId val="697748256"/>
        <c:axId val="697749696"/>
      </c:barChart>
      <c:catAx>
        <c:axId val="69774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49696"/>
        <c:crosses val="autoZero"/>
        <c:auto val="1"/>
        <c:lblAlgn val="ctr"/>
        <c:lblOffset val="100"/>
        <c:noMultiLvlLbl val="0"/>
      </c:catAx>
      <c:valAx>
        <c:axId val="697749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STAFF</a:t>
                </a:r>
                <a:r>
                  <a:rPr lang="en-CA" baseline="0"/>
                  <a:t> MEMBERS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4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500062</xdr:colOff>
      <xdr:row>32</xdr:row>
      <xdr:rowOff>109536</xdr:rowOff>
    </xdr:from>
    <xdr:to>
      <xdr:col>9</xdr:col>
      <xdr:colOff>723900</xdr:colOff>
      <xdr:row>50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7C8227-DAA1-85B1-B55B-49D419BFD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100012</xdr:colOff>
      <xdr:row>38</xdr:row>
      <xdr:rowOff>38099</xdr:rowOff>
    </xdr:from>
    <xdr:to>
      <xdr:col>2</xdr:col>
      <xdr:colOff>1400175</xdr:colOff>
      <xdr:row>51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2D9C44-999D-4594-4D21-5CC90CD65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20</xdr:row>
      <xdr:rowOff>157162</xdr:rowOff>
    </xdr:from>
    <xdr:to>
      <xdr:col>14</xdr:col>
      <xdr:colOff>47625</xdr:colOff>
      <xdr:row>35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E1D58E-C080-0ADE-B8C8-3D19D3C84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71437</xdr:colOff>
      <xdr:row>35</xdr:row>
      <xdr:rowOff>166687</xdr:rowOff>
    </xdr:from>
    <xdr:to>
      <xdr:col>14</xdr:col>
      <xdr:colOff>61912</xdr:colOff>
      <xdr:row>50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0D121C-46B7-2E6F-9B18-0E638A74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4</xdr:row>
      <xdr:rowOff>82550</xdr:rowOff>
    </xdr:from>
    <xdr:to>
      <xdr:col>9</xdr:col>
      <xdr:colOff>19050</xdr:colOff>
      <xdr:row>10</xdr:row>
      <xdr:rowOff>34925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B6E4C7-5263-1267-10D6-2AF16AAA8C9D}"/>
            </a:ext>
          </a:extLst>
        </xdr:cNvPr>
        <xdr:cNvSpPr/>
      </xdr:nvSpPr>
      <xdr:spPr>
        <a:xfrm>
          <a:off x="3352800" y="844550"/>
          <a:ext cx="2152650" cy="10953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527050</xdr:colOff>
      <xdr:row>4</xdr:row>
      <xdr:rowOff>95250</xdr:rowOff>
    </xdr:from>
    <xdr:to>
      <xdr:col>14</xdr:col>
      <xdr:colOff>241300</xdr:colOff>
      <xdr:row>10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85C74-57F3-6362-074F-9ACEC76EF217}"/>
            </a:ext>
          </a:extLst>
        </xdr:cNvPr>
        <xdr:cNvSpPr/>
      </xdr:nvSpPr>
      <xdr:spPr>
        <a:xfrm>
          <a:off x="6623050" y="857250"/>
          <a:ext cx="2152650" cy="10953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16</xdr:col>
      <xdr:colOff>139700</xdr:colOff>
      <xdr:row>4</xdr:row>
      <xdr:rowOff>76200</xdr:rowOff>
    </xdr:from>
    <xdr:to>
      <xdr:col>19</xdr:col>
      <xdr:colOff>463550</xdr:colOff>
      <xdr:row>10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36337A7-4DAF-514C-9B1B-E8331E7463B3}"/>
            </a:ext>
          </a:extLst>
        </xdr:cNvPr>
        <xdr:cNvSpPr/>
      </xdr:nvSpPr>
      <xdr:spPr>
        <a:xfrm>
          <a:off x="9893300" y="838200"/>
          <a:ext cx="2152650" cy="10953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21</xdr:col>
      <xdr:colOff>361950</xdr:colOff>
      <xdr:row>4</xdr:row>
      <xdr:rowOff>88900</xdr:rowOff>
    </xdr:from>
    <xdr:to>
      <xdr:col>25</xdr:col>
      <xdr:colOff>76200</xdr:colOff>
      <xdr:row>10</xdr:row>
      <xdr:rowOff>41275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F84466-0849-85DA-E5F3-65299FBBBB44}"/>
            </a:ext>
          </a:extLst>
        </xdr:cNvPr>
        <xdr:cNvSpPr/>
      </xdr:nvSpPr>
      <xdr:spPr>
        <a:xfrm>
          <a:off x="13163550" y="850900"/>
          <a:ext cx="2152650" cy="10953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164249</xdr:colOff>
      <xdr:row>11</xdr:row>
      <xdr:rowOff>34837</xdr:rowOff>
    </xdr:from>
    <xdr:to>
      <xdr:col>20</xdr:col>
      <xdr:colOff>102916</xdr:colOff>
      <xdr:row>27</xdr:row>
      <xdr:rowOff>104531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0678A6D-9AA0-48EE-B7E7-38E8D4101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4</xdr:row>
      <xdr:rowOff>95250</xdr:rowOff>
    </xdr:from>
    <xdr:to>
      <xdr:col>9</xdr:col>
      <xdr:colOff>9525</xdr:colOff>
      <xdr:row>8</xdr:row>
      <xdr:rowOff>95250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90EF2C5-5C1B-C5B6-A339-3C30E3C342A9}"/>
            </a:ext>
          </a:extLst>
        </xdr:cNvPr>
        <xdr:cNvGrpSpPr/>
      </xdr:nvGrpSpPr>
      <xdr:grpSpPr>
        <a:xfrm>
          <a:off x="3341060" y="848390"/>
          <a:ext cx="2150878" cy="753139"/>
          <a:chOff x="3343275" y="857250"/>
          <a:chExt cx="2152650" cy="762000"/>
        </a:xfrm>
      </xdr:grpSpPr>
      <xdr:sp macro="" textlink="Dashboard_Calculator!B10">
        <xdr:nvSpPr>
          <xdr:cNvPr id="13" name="TextBox 12">
            <a:extLst>
              <a:ext uri="{FF2B5EF4-FFF2-40B4-BE49-F238E27FC236}">
                <a16:creationId xmlns:a16="http://schemas.microsoft.com/office/drawing/2014/main" id="{C183B7F0-44BC-89F6-5E2C-48B18CA745FA}"/>
              </a:ext>
            </a:extLst>
          </xdr:cNvPr>
          <xdr:cNvSpPr txBox="1"/>
        </xdr:nvSpPr>
        <xdr:spPr>
          <a:xfrm>
            <a:off x="3352801" y="1238250"/>
            <a:ext cx="214312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027BE1A-ECEF-4AE3-AF59-11D848EFDA06}" type="TxLink">
              <a:rPr lang="en-US" sz="1400" b="1" i="0" u="none" strike="noStrike">
                <a:solidFill>
                  <a:srgbClr val="C00000"/>
                </a:solidFill>
                <a:latin typeface="Aptos ExtraBold" panose="020F0502020204030204" pitchFamily="34" charset="0"/>
              </a:rPr>
              <a:pPr algn="ctr"/>
              <a:t>3.48</a:t>
            </a:fld>
            <a:endParaRPr lang="en-CA" sz="1400" b="1">
              <a:solidFill>
                <a:srgbClr val="C00000"/>
              </a:solidFill>
              <a:latin typeface="Aptos ExtraBold" panose="020F0502020204030204" pitchFamily="34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A5C30BE-098B-3839-B46A-3D13DFF43D50}"/>
              </a:ext>
            </a:extLst>
          </xdr:cNvPr>
          <xdr:cNvSpPr txBox="1"/>
        </xdr:nvSpPr>
        <xdr:spPr>
          <a:xfrm>
            <a:off x="3343275" y="857250"/>
            <a:ext cx="2152650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i="0" u="none" strike="noStrike">
                <a:solidFill>
                  <a:srgbClr val="000000"/>
                </a:solidFill>
                <a:latin typeface="Aptos ExtraBold" panose="020F0502020204030204" pitchFamily="34" charset="0"/>
              </a:rPr>
              <a:t>Overall Average Satisfaction Score</a:t>
            </a:r>
          </a:p>
        </xdr:txBody>
      </xdr:sp>
    </xdr:grpSp>
    <xdr:clientData/>
  </xdr:twoCellAnchor>
  <xdr:twoCellAnchor>
    <xdr:from>
      <xdr:col>5</xdr:col>
      <xdr:colOff>304800</xdr:colOff>
      <xdr:row>8</xdr:row>
      <xdr:rowOff>85725</xdr:rowOff>
    </xdr:from>
    <xdr:to>
      <xdr:col>9</xdr:col>
      <xdr:colOff>19050</xdr:colOff>
      <xdr:row>10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1ED98F0-D617-F7F7-19E3-B55B46F6DB9F}"/>
            </a:ext>
          </a:extLst>
        </xdr:cNvPr>
        <xdr:cNvSpPr txBox="1"/>
      </xdr:nvSpPr>
      <xdr:spPr>
        <a:xfrm>
          <a:off x="3352800" y="1609725"/>
          <a:ext cx="21526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0" u="none" strike="noStrike">
              <a:solidFill>
                <a:srgbClr val="000000"/>
              </a:solidFill>
              <a:latin typeface="Aptos ExtraBold" panose="020F0502020204030204" pitchFamily="34" charset="0"/>
            </a:rPr>
            <a:t>Target: 3.8</a:t>
          </a:r>
        </a:p>
      </xdr:txBody>
    </xdr:sp>
    <xdr:clientData/>
  </xdr:twoCellAnchor>
  <xdr:twoCellAnchor>
    <xdr:from>
      <xdr:col>10</xdr:col>
      <xdr:colOff>523875</xdr:colOff>
      <xdr:row>4</xdr:row>
      <xdr:rowOff>85725</xdr:rowOff>
    </xdr:from>
    <xdr:to>
      <xdr:col>19</xdr:col>
      <xdr:colOff>476250</xdr:colOff>
      <xdr:row>8</xdr:row>
      <xdr:rowOff>133350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B84F06DD-92A2-DE46-9FEB-BD5B9D248D0D}"/>
            </a:ext>
          </a:extLst>
        </xdr:cNvPr>
        <xdr:cNvGrpSpPr/>
      </xdr:nvGrpSpPr>
      <xdr:grpSpPr>
        <a:xfrm>
          <a:off x="6615445" y="838865"/>
          <a:ext cx="5434788" cy="800764"/>
          <a:chOff x="3343275" y="857250"/>
          <a:chExt cx="5438775" cy="809625"/>
        </a:xfrm>
      </xdr:grpSpPr>
      <xdr:sp macro="" textlink="Dashboard_Calculator!B11">
        <xdr:nvSpPr>
          <xdr:cNvPr id="18" name="TextBox 17">
            <a:extLst>
              <a:ext uri="{FF2B5EF4-FFF2-40B4-BE49-F238E27FC236}">
                <a16:creationId xmlns:a16="http://schemas.microsoft.com/office/drawing/2014/main" id="{39B02CFC-369A-C5EA-9AE3-943F5671C093}"/>
              </a:ext>
            </a:extLst>
          </xdr:cNvPr>
          <xdr:cNvSpPr txBox="1"/>
        </xdr:nvSpPr>
        <xdr:spPr>
          <a:xfrm>
            <a:off x="3352801" y="1238250"/>
            <a:ext cx="214312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2EF1A45-90A4-48A9-A898-66DEFF88BA25}" type="TxLink">
              <a:rPr lang="en-US" sz="1400" b="0" i="0" u="none" strike="noStrike">
                <a:solidFill>
                  <a:srgbClr val="000000"/>
                </a:solidFill>
                <a:latin typeface="Aptos ExtraBold" panose="020B0004020202020204" pitchFamily="34" charset="0"/>
              </a:rPr>
              <a:pPr algn="ctr"/>
              <a:t>53.91</a:t>
            </a:fld>
            <a:endParaRPr lang="en-CA" sz="1800" b="1">
              <a:solidFill>
                <a:srgbClr val="C00000"/>
              </a:solidFill>
              <a:latin typeface="Aptos ExtraBold" panose="020B0004020202020204" pitchFamily="34" charset="0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79586C96-9126-A31C-4B6B-E34A3C443127}"/>
              </a:ext>
            </a:extLst>
          </xdr:cNvPr>
          <xdr:cNvSpPr txBox="1"/>
        </xdr:nvSpPr>
        <xdr:spPr>
          <a:xfrm>
            <a:off x="3343275" y="857250"/>
            <a:ext cx="2152650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i="0" u="none" strike="noStrike">
                <a:solidFill>
                  <a:srgbClr val="000000"/>
                </a:solidFill>
                <a:latin typeface="Aptos ExtraBold" panose="020F0502020204030204" pitchFamily="34" charset="0"/>
              </a:rPr>
              <a:t>Average Wait Time</a:t>
            </a:r>
          </a:p>
          <a:p>
            <a:pPr algn="ctr"/>
            <a:r>
              <a:rPr lang="en-US" sz="1200" b="1" i="0" u="none" strike="noStrike">
                <a:solidFill>
                  <a:srgbClr val="000000"/>
                </a:solidFill>
                <a:latin typeface="Aptos ExtraBold" panose="020F0502020204030204" pitchFamily="34" charset="0"/>
              </a:rPr>
              <a:t>(min)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ABCEC2D-F659-96D7-5490-A62373EDB888}"/>
              </a:ext>
            </a:extLst>
          </xdr:cNvPr>
          <xdr:cNvSpPr txBox="1"/>
        </xdr:nvSpPr>
        <xdr:spPr>
          <a:xfrm>
            <a:off x="6629400" y="857250"/>
            <a:ext cx="2152650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i="0" u="none" strike="noStrike">
                <a:solidFill>
                  <a:srgbClr val="000000"/>
                </a:solidFill>
                <a:latin typeface="Aptos ExtraBold" panose="020F0502020204030204" pitchFamily="34" charset="0"/>
              </a:rPr>
              <a:t>Overall Average Readmission Rate</a:t>
            </a:r>
          </a:p>
        </xdr:txBody>
      </xdr:sp>
      <xdr:sp macro="" textlink="Dashboard_Calculator!B12">
        <xdr:nvSpPr>
          <xdr:cNvPr id="23" name="TextBox 22">
            <a:extLst>
              <a:ext uri="{FF2B5EF4-FFF2-40B4-BE49-F238E27FC236}">
                <a16:creationId xmlns:a16="http://schemas.microsoft.com/office/drawing/2014/main" id="{1BB06FBB-5959-1C7A-5B1F-158BED663DC5}"/>
              </a:ext>
            </a:extLst>
          </xdr:cNvPr>
          <xdr:cNvSpPr txBox="1"/>
        </xdr:nvSpPr>
        <xdr:spPr>
          <a:xfrm>
            <a:off x="6619876" y="1285875"/>
            <a:ext cx="214312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06E501A-4C7C-4102-959C-A124F26A71EF}" type="TxLink">
              <a:rPr lang="en-US" sz="1400" b="1" i="0" u="none" strike="noStrike">
                <a:solidFill>
                  <a:srgbClr val="C00000"/>
                </a:solidFill>
                <a:latin typeface="Aptos ExtraBold" panose="020B0004020202020204" pitchFamily="34" charset="0"/>
              </a:rPr>
              <a:pPr algn="ctr"/>
              <a:t>10.08%</a:t>
            </a:fld>
            <a:endParaRPr lang="en-CA" sz="2400" b="1">
              <a:solidFill>
                <a:srgbClr val="C00000"/>
              </a:solidFill>
              <a:latin typeface="Aptos ExtraBold" panose="020B0004020202020204" pitchFamily="34" charset="0"/>
            </a:endParaRPr>
          </a:p>
        </xdr:txBody>
      </xdr:sp>
    </xdr:grpSp>
    <xdr:clientData/>
  </xdr:twoCellAnchor>
  <xdr:twoCellAnchor>
    <xdr:from>
      <xdr:col>21</xdr:col>
      <xdr:colOff>352425</xdr:colOff>
      <xdr:row>4</xdr:row>
      <xdr:rowOff>85725</xdr:rowOff>
    </xdr:from>
    <xdr:to>
      <xdr:col>25</xdr:col>
      <xdr:colOff>66675</xdr:colOff>
      <xdr:row>8</xdr:row>
      <xdr:rowOff>114300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4BE4F84-0B03-786D-6BD5-21B41BE88834}"/>
            </a:ext>
          </a:extLst>
        </xdr:cNvPr>
        <xdr:cNvGrpSpPr/>
      </xdr:nvGrpSpPr>
      <xdr:grpSpPr>
        <a:xfrm>
          <a:off x="13144722" y="838865"/>
          <a:ext cx="2150877" cy="781714"/>
          <a:chOff x="3343275" y="857250"/>
          <a:chExt cx="2152650" cy="790575"/>
        </a:xfrm>
      </xdr:grpSpPr>
      <xdr:sp macro="" textlink="Dashboard_Calculator!B13">
        <xdr:nvSpPr>
          <xdr:cNvPr id="25" name="TextBox 24">
            <a:extLst>
              <a:ext uri="{FF2B5EF4-FFF2-40B4-BE49-F238E27FC236}">
                <a16:creationId xmlns:a16="http://schemas.microsoft.com/office/drawing/2014/main" id="{B7633147-C4B7-8E07-936D-F287379CF953}"/>
              </a:ext>
            </a:extLst>
          </xdr:cNvPr>
          <xdr:cNvSpPr txBox="1"/>
        </xdr:nvSpPr>
        <xdr:spPr>
          <a:xfrm>
            <a:off x="3352801" y="1266825"/>
            <a:ext cx="214312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A53F257-CC75-4692-AD70-7A0E61924D5C}" type="TxLink">
              <a:rPr lang="en-US" sz="1400" b="0" i="0" u="none" strike="noStrike">
                <a:solidFill>
                  <a:schemeClr val="accent6">
                    <a:lumMod val="75000"/>
                  </a:schemeClr>
                </a:solidFill>
                <a:latin typeface="Aptos ExtraBold" panose="020B0004020202020204" pitchFamily="34" charset="0"/>
              </a:rPr>
              <a:pPr algn="ctr"/>
              <a:t>$2.09</a:t>
            </a:fld>
            <a:endParaRPr lang="en-CA" sz="1800" b="1">
              <a:solidFill>
                <a:schemeClr val="accent6">
                  <a:lumMod val="75000"/>
                </a:schemeClr>
              </a:solidFill>
              <a:latin typeface="Aptos ExtraBold" panose="020B0004020202020204" pitchFamily="34" charset="0"/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FC92061-8ADC-C783-8B93-2FFD709282F2}"/>
              </a:ext>
            </a:extLst>
          </xdr:cNvPr>
          <xdr:cNvSpPr txBox="1"/>
        </xdr:nvSpPr>
        <xdr:spPr>
          <a:xfrm>
            <a:off x="3343275" y="857250"/>
            <a:ext cx="2152650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i="0" u="none" strike="noStrike">
                <a:solidFill>
                  <a:srgbClr val="000000"/>
                </a:solidFill>
                <a:latin typeface="Aptos ExtraBold" panose="020F0502020204030204" pitchFamily="34" charset="0"/>
              </a:rPr>
              <a:t>Average Customer Charge</a:t>
            </a:r>
          </a:p>
        </xdr:txBody>
      </xdr:sp>
    </xdr:grpSp>
    <xdr:clientData/>
  </xdr:twoCellAnchor>
  <xdr:twoCellAnchor>
    <xdr:from>
      <xdr:col>21</xdr:col>
      <xdr:colOff>361950</xdr:colOff>
      <xdr:row>8</xdr:row>
      <xdr:rowOff>66675</xdr:rowOff>
    </xdr:from>
    <xdr:to>
      <xdr:col>25</xdr:col>
      <xdr:colOff>76200</xdr:colOff>
      <xdr:row>10</xdr:row>
      <xdr:rowOff>19050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0926547-0567-E217-5FC0-8942EF240852}"/>
            </a:ext>
          </a:extLst>
        </xdr:cNvPr>
        <xdr:cNvSpPr txBox="1"/>
      </xdr:nvSpPr>
      <xdr:spPr>
        <a:xfrm>
          <a:off x="13163550" y="1590675"/>
          <a:ext cx="21526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0" u="none" strike="noStrike">
              <a:solidFill>
                <a:srgbClr val="000000"/>
              </a:solidFill>
              <a:latin typeface="Aptos ExtraBold" panose="020F0502020204030204" pitchFamily="34" charset="0"/>
            </a:rPr>
            <a:t>Above Base Cost</a:t>
          </a:r>
        </a:p>
      </xdr:txBody>
    </xdr:sp>
    <xdr:clientData/>
  </xdr:twoCellAnchor>
  <xdr:twoCellAnchor>
    <xdr:from>
      <xdr:col>10</xdr:col>
      <xdr:colOff>504825</xdr:colOff>
      <xdr:row>8</xdr:row>
      <xdr:rowOff>85725</xdr:rowOff>
    </xdr:from>
    <xdr:to>
      <xdr:col>14</xdr:col>
      <xdr:colOff>219075</xdr:colOff>
      <xdr:row>10</xdr:row>
      <xdr:rowOff>38100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9CF9616-5D3A-A7FF-D3DB-EBA28D2032A6}"/>
            </a:ext>
          </a:extLst>
        </xdr:cNvPr>
        <xdr:cNvSpPr txBox="1"/>
      </xdr:nvSpPr>
      <xdr:spPr>
        <a:xfrm>
          <a:off x="6600825" y="1609725"/>
          <a:ext cx="21526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0" u="none" strike="noStrike">
              <a:solidFill>
                <a:srgbClr val="000000"/>
              </a:solidFill>
              <a:latin typeface="Aptos ExtraBold" panose="020F0502020204030204" pitchFamily="34" charset="0"/>
            </a:rPr>
            <a:t>All departments</a:t>
          </a:r>
        </a:p>
      </xdr:txBody>
    </xdr:sp>
    <xdr:clientData/>
  </xdr:twoCellAnchor>
  <xdr:twoCellAnchor>
    <xdr:from>
      <xdr:col>16</xdr:col>
      <xdr:colOff>142875</xdr:colOff>
      <xdr:row>8</xdr:row>
      <xdr:rowOff>66675</xdr:rowOff>
    </xdr:from>
    <xdr:to>
      <xdr:col>19</xdr:col>
      <xdr:colOff>466725</xdr:colOff>
      <xdr:row>10</xdr:row>
      <xdr:rowOff>19050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A3872C4-4836-1F76-0FBD-03DB7D075C4A}"/>
            </a:ext>
          </a:extLst>
        </xdr:cNvPr>
        <xdr:cNvSpPr txBox="1"/>
      </xdr:nvSpPr>
      <xdr:spPr>
        <a:xfrm>
          <a:off x="9896475" y="1590675"/>
          <a:ext cx="21526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0" u="none" strike="noStrike">
              <a:solidFill>
                <a:srgbClr val="000000"/>
              </a:solidFill>
              <a:latin typeface="Aptos ExtraBold" panose="020F0502020204030204" pitchFamily="34" charset="0"/>
            </a:rPr>
            <a:t>30-day period</a:t>
          </a:r>
        </a:p>
      </xdr:txBody>
    </xdr:sp>
    <xdr:clientData/>
  </xdr:twoCellAnchor>
  <xdr:twoCellAnchor>
    <xdr:from>
      <xdr:col>20</xdr:col>
      <xdr:colOff>220701</xdr:colOff>
      <xdr:row>11</xdr:row>
      <xdr:rowOff>34847</xdr:rowOff>
    </xdr:from>
    <xdr:to>
      <xdr:col>29</xdr:col>
      <xdr:colOff>406555</xdr:colOff>
      <xdr:row>27</xdr:row>
      <xdr:rowOff>116158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449FA30-D989-4282-9AE7-DC484954F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249717</xdr:colOff>
      <xdr:row>11</xdr:row>
      <xdr:rowOff>34845</xdr:rowOff>
    </xdr:from>
    <xdr:to>
      <xdr:col>10</xdr:col>
      <xdr:colOff>46463</xdr:colOff>
      <xdr:row>27</xdr:row>
      <xdr:rowOff>116159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9A747BE-2349-4825-A2CA-026EAF31F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omon" refreshedDate="46220.636384722224" createdVersion="8" refreshedVersion="8" minRefreshableVersion="3" recordCount="816" xr:uid="{7C1307D4-D2C6-4511-9077-1912055640EA}">
  <cacheSource type="worksheet">
    <worksheetSource name="EHR_Export"/>
  </cacheSource>
  <cacheFields count="16">
    <cacheField name="Visit ID" numFmtId="0">
      <sharedItems/>
    </cacheField>
    <cacheField name="Visit Date" numFmtId="14">
      <sharedItems containsSemiMixedTypes="0" containsNonDate="0" containsDate="1" containsString="0" minDate="2026-01-01T00:00:00" maxDate="2026-04-01T00:00:00"/>
    </cacheField>
    <cacheField name="Arrival Time" numFmtId="166">
      <sharedItems containsSemiMixedTypes="0" containsNonDate="0" containsDate="1" containsString="0" minDate="1899-12-30T00:13:00" maxDate="1899-12-30T23:51:00"/>
    </cacheField>
    <cacheField name="Department Code" numFmtId="0">
      <sharedItems count="5">
        <s v="SURG"/>
        <s v="CARD"/>
        <s v="PEDS"/>
        <s v="ORTH"/>
        <s v="ER"/>
      </sharedItems>
    </cacheField>
    <cacheField name="Department Full Name" numFmtId="0">
      <sharedItems count="5">
        <s v="General Surgery"/>
        <s v="Cardiology"/>
        <s v="Pediatrics"/>
        <s v="Orthopedics"/>
        <s v="Emergency"/>
      </sharedItems>
    </cacheField>
    <cacheField name="Patient Name" numFmtId="0">
      <sharedItems/>
    </cacheField>
    <cacheField name="Age" numFmtId="0">
      <sharedItems containsSemiMixedTypes="0" containsString="0" containsNumber="1" containsInteger="1" minValue="-5" maxValue="999"/>
    </cacheField>
    <cacheField name="Gender" numFmtId="0">
      <sharedItems/>
    </cacheField>
    <cacheField name="Insurance" numFmtId="0">
      <sharedItems/>
    </cacheField>
    <cacheField name="Wait Time (min)" numFmtId="0">
      <sharedItems containsSemiMixedTypes="0" containsString="0" containsNumber="1" containsInteger="1" minValue="5" maxValue="139"/>
    </cacheField>
    <cacheField name="Treatment Time (min)" numFmtId="0">
      <sharedItems containsSemiMixedTypes="0" containsString="0" containsNumber="1" containsInteger="1" minValue="10" maxValue="138" count="108">
        <n v="83"/>
        <n v="79"/>
        <n v="78"/>
        <n v="69"/>
        <n v="46"/>
        <n v="47"/>
        <n v="56"/>
        <n v="55"/>
        <n v="49"/>
        <n v="40"/>
        <n v="121"/>
        <n v="66"/>
        <n v="10"/>
        <n v="86"/>
        <n v="138"/>
        <n v="132"/>
        <n v="31"/>
        <n v="25"/>
        <n v="35"/>
        <n v="12"/>
        <n v="54"/>
        <n v="45"/>
        <n v="33"/>
        <n v="74"/>
        <n v="57"/>
        <n v="51"/>
        <n v="32"/>
        <n v="58"/>
        <n v="18"/>
        <n v="85"/>
        <n v="71"/>
        <n v="36"/>
        <n v="23"/>
        <n v="116"/>
        <n v="111"/>
        <n v="90"/>
        <n v="48"/>
        <n v="64"/>
        <n v="82"/>
        <n v="99"/>
        <n v="50"/>
        <n v="30"/>
        <n v="13"/>
        <n v="65"/>
        <n v="38"/>
        <n v="42"/>
        <n v="52"/>
        <n v="27"/>
        <n v="84"/>
        <n v="72"/>
        <n v="39"/>
        <n v="59"/>
        <n v="61"/>
        <n v="37"/>
        <n v="67"/>
        <n v="124"/>
        <n v="60"/>
        <n v="53"/>
        <n v="17"/>
        <n v="101"/>
        <n v="70"/>
        <n v="98"/>
        <n v="80"/>
        <n v="104"/>
        <n v="26"/>
        <n v="62"/>
        <n v="114"/>
        <n v="68"/>
        <n v="34"/>
        <n v="43"/>
        <n v="41"/>
        <n v="14"/>
        <n v="108"/>
        <n v="19"/>
        <n v="81"/>
        <n v="16"/>
        <n v="44"/>
        <n v="91"/>
        <n v="22"/>
        <n v="24"/>
        <n v="107"/>
        <n v="29"/>
        <n v="20"/>
        <n v="15"/>
        <n v="88"/>
        <n v="87"/>
        <n v="94"/>
        <n v="118"/>
        <n v="75"/>
        <n v="89"/>
        <n v="73"/>
        <n v="63"/>
        <n v="100"/>
        <n v="76"/>
        <n v="21"/>
        <n v="92"/>
        <n v="115"/>
        <n v="112"/>
        <n v="11"/>
        <n v="93"/>
        <n v="77"/>
        <n v="105"/>
        <n v="28"/>
        <n v="97"/>
        <n v="110"/>
        <n v="95"/>
        <n v="113"/>
        <n v="106"/>
      </sharedItems>
    </cacheField>
    <cacheField name="Satisfaction (1-5)" numFmtId="0">
      <sharedItems containsString="0" containsBlank="1" containsNumber="1" minValue="1.4" maxValue="5"/>
    </cacheField>
    <cacheField name="Readmitted 30d" numFmtId="0">
      <sharedItems containsBlank="1"/>
    </cacheField>
    <cacheField name="Charge Amount" numFmtId="164">
      <sharedItems containsString="0" containsBlank="1" containsNumber="1" minValue="306.23" maxValue="5533.92"/>
    </cacheField>
    <cacheField name="Shift Type" numFmtId="164">
      <sharedItems count="3">
        <s v="Night"/>
        <s v="Day"/>
        <s v="Evening"/>
      </sharedItems>
    </cacheField>
    <cacheField name="Staff on Duty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1907451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6">
  <r>
    <s v="1001"/>
    <d v="2026-01-01T00:00:00"/>
    <d v="1899-12-30T05:32:00"/>
    <x v="0"/>
    <x v="0"/>
    <s v="Patient 1001"/>
    <n v="40"/>
    <s v="MALE"/>
    <s v="Private"/>
    <n v="50"/>
    <x v="0"/>
    <n v="3.6"/>
    <s v="No"/>
    <n v="3390.98"/>
    <x v="0"/>
    <n v="4"/>
  </r>
  <r>
    <s v="1006"/>
    <d v="2026-01-01T00:00:00"/>
    <d v="1899-12-30T09:07:00"/>
    <x v="0"/>
    <x v="0"/>
    <s v="Patient 1006"/>
    <n v="23"/>
    <s v="FEMALE"/>
    <s v="Medicaid"/>
    <n v="55"/>
    <x v="1"/>
    <n v="3.5"/>
    <s v="No"/>
    <n v="3996.59"/>
    <x v="1"/>
    <n v="7"/>
  </r>
  <r>
    <s v="1004"/>
    <d v="2026-01-01T00:00:00"/>
    <d v="1899-12-30T22:07:00"/>
    <x v="1"/>
    <x v="1"/>
    <s v="Patient 1004"/>
    <n v="36"/>
    <s v="MALE"/>
    <s v="Private"/>
    <n v="29"/>
    <x v="2"/>
    <m/>
    <s v="No"/>
    <n v="2343.67"/>
    <x v="2"/>
    <n v="7"/>
  </r>
  <r>
    <s v="1005"/>
    <d v="2026-01-01T00:00:00"/>
    <d v="1899-12-30T19:17:00"/>
    <x v="2"/>
    <x v="2"/>
    <s v="Patient 1005"/>
    <n v="35"/>
    <s v="FEMALE"/>
    <s v="Private"/>
    <n v="23"/>
    <x v="3"/>
    <n v="4.3"/>
    <s v="No"/>
    <n v="620.4"/>
    <x v="2"/>
    <n v="4"/>
  </r>
  <r>
    <s v="1007"/>
    <d v="2026-01-01T00:00:00"/>
    <d v="1899-12-30T17:24:00"/>
    <x v="1"/>
    <x v="1"/>
    <s v="Patient 1007"/>
    <n v="63"/>
    <s v="FEMALE"/>
    <s v="Medicaid"/>
    <n v="21"/>
    <x v="4"/>
    <n v="4.4000000000000004"/>
    <s v="No"/>
    <m/>
    <x v="2"/>
    <n v="7"/>
  </r>
  <r>
    <s v="1002"/>
    <d v="2026-01-01T00:00:00"/>
    <d v="1899-12-30T22:02:00"/>
    <x v="3"/>
    <x v="3"/>
    <s v="Patient 1002"/>
    <n v="34"/>
    <s v="FEMALE"/>
    <s v="Private"/>
    <n v="74"/>
    <x v="5"/>
    <n v="2.8"/>
    <s v="No"/>
    <n v="2144.0700000000002"/>
    <x v="2"/>
    <n v="7"/>
  </r>
  <r>
    <s v="1003"/>
    <d v="2026-01-01T00:00:00"/>
    <d v="1899-12-30T14:49:00"/>
    <x v="4"/>
    <x v="4"/>
    <s v="Patient 1003"/>
    <n v="38"/>
    <s v="FEMALE"/>
    <s v="Medicare"/>
    <n v="26"/>
    <x v="6"/>
    <n v="3.6"/>
    <s v="No"/>
    <n v="866.36"/>
    <x v="1"/>
    <n v="6"/>
  </r>
  <r>
    <s v="1011"/>
    <d v="2026-01-02T00:00:00"/>
    <d v="1899-12-30T07:54:00"/>
    <x v="4"/>
    <x v="4"/>
    <s v="Patient 1011"/>
    <n v="76"/>
    <s v="FEMALE"/>
    <s v="Medicaid"/>
    <n v="32"/>
    <x v="7"/>
    <n v="3.5"/>
    <s v="No"/>
    <n v="547.75"/>
    <x v="1"/>
    <n v="6"/>
  </r>
  <r>
    <s v="1015"/>
    <d v="2026-01-02T00:00:00"/>
    <d v="1899-12-30T21:09:00"/>
    <x v="4"/>
    <x v="4"/>
    <s v="Patient 1015"/>
    <n v="49"/>
    <s v="FEMALE"/>
    <s v="Medicare"/>
    <n v="55"/>
    <x v="8"/>
    <n v="2.6"/>
    <s v="No"/>
    <n v="1249.8900000000001"/>
    <x v="2"/>
    <n v="8"/>
  </r>
  <r>
    <s v="1012"/>
    <d v="2026-01-02T00:00:00"/>
    <d v="1899-12-30T18:12:00"/>
    <x v="2"/>
    <x v="2"/>
    <s v="Patient 1012"/>
    <n v="44"/>
    <s v="FEMALE"/>
    <s v="Medicare"/>
    <n v="45"/>
    <x v="9"/>
    <n v="3.5"/>
    <s v="No"/>
    <n v="833.24"/>
    <x v="2"/>
    <n v="7"/>
  </r>
  <r>
    <s v="1013"/>
    <d v="2026-01-02T00:00:00"/>
    <d v="1899-12-30T09:13:00"/>
    <x v="0"/>
    <x v="0"/>
    <s v="Patient 1013"/>
    <n v="65"/>
    <s v="FEMALE"/>
    <s v="Uninsured"/>
    <n v="51"/>
    <x v="10"/>
    <n v="2.9"/>
    <s v="No"/>
    <n v="3303.34"/>
    <x v="1"/>
    <n v="10"/>
  </r>
  <r>
    <s v="1009"/>
    <d v="2026-01-02T00:00:00"/>
    <d v="1899-12-30T05:00:00"/>
    <x v="1"/>
    <x v="1"/>
    <s v="Patient 1009"/>
    <n v="58"/>
    <s v="MALE"/>
    <s v="Private"/>
    <n v="39"/>
    <x v="11"/>
    <m/>
    <s v="No"/>
    <n v="1345.12"/>
    <x v="0"/>
    <n v="5"/>
  </r>
  <r>
    <s v="1008"/>
    <d v="2026-01-02T00:00:00"/>
    <d v="1899-12-30T14:39:00"/>
    <x v="1"/>
    <x v="1"/>
    <s v="Patient 1008"/>
    <n v="35"/>
    <s v="FEMALE"/>
    <s v="Medicaid"/>
    <n v="60"/>
    <x v="12"/>
    <n v="3.1"/>
    <s v="No"/>
    <n v="1277.9000000000001"/>
    <x v="1"/>
    <n v="7"/>
  </r>
  <r>
    <s v="1010"/>
    <d v="2026-01-02T00:00:00"/>
    <d v="1899-12-30T13:19:00"/>
    <x v="3"/>
    <x v="3"/>
    <s v="Patient 1010"/>
    <n v="66"/>
    <s v="FEMALE"/>
    <s v="Uninsured"/>
    <n v="49"/>
    <x v="12"/>
    <n v="2.7"/>
    <s v="No"/>
    <n v="1577.08"/>
    <x v="1"/>
    <n v="4"/>
  </r>
  <r>
    <s v="1014"/>
    <d v="2026-01-02T00:00:00"/>
    <d v="1899-12-30T18:21:00"/>
    <x v="0"/>
    <x v="0"/>
    <s v="Patient 1014"/>
    <n v="36"/>
    <s v="FEMALE"/>
    <s v="Uninsured"/>
    <n v="91"/>
    <x v="13"/>
    <n v="1.8"/>
    <s v="No"/>
    <n v="4325.3100000000004"/>
    <x v="2"/>
    <n v="4"/>
  </r>
  <r>
    <s v="1019"/>
    <d v="2026-01-03T00:00:00"/>
    <d v="1899-12-30T20:12:00"/>
    <x v="1"/>
    <x v="1"/>
    <s v="Patient 1019"/>
    <n v="28"/>
    <s v="MALE"/>
    <s v="Private"/>
    <n v="60"/>
    <x v="7"/>
    <m/>
    <s v="No"/>
    <n v="2400.16"/>
    <x v="2"/>
    <n v="3"/>
  </r>
  <r>
    <s v="1020"/>
    <d v="2026-01-03T00:00:00"/>
    <d v="1899-12-30T12:16:00"/>
    <x v="0"/>
    <x v="0"/>
    <s v="Patient 1020"/>
    <n v="59"/>
    <s v="FEMALE"/>
    <s v="Medicare"/>
    <n v="75"/>
    <x v="14"/>
    <n v="2.6"/>
    <s v="No"/>
    <n v="3751.67"/>
    <x v="1"/>
    <n v="10"/>
  </r>
  <r>
    <s v="1024"/>
    <d v="2026-01-03T00:00:00"/>
    <d v="1899-12-30T17:07:00"/>
    <x v="0"/>
    <x v="0"/>
    <s v="Patient 1024"/>
    <n v="50"/>
    <s v="MALE"/>
    <s v="Private"/>
    <n v="110"/>
    <x v="15"/>
    <n v="2.1"/>
    <s v="No"/>
    <n v="2487.9299999999998"/>
    <x v="2"/>
    <n v="7"/>
  </r>
  <r>
    <s v="1017"/>
    <d v="2026-01-03T00:00:00"/>
    <d v="1899-12-30T09:00:00"/>
    <x v="2"/>
    <x v="2"/>
    <s v="Patient 1017"/>
    <n v="18"/>
    <s v="FEMALE"/>
    <s v="Medicaid"/>
    <n v="33"/>
    <x v="12"/>
    <n v="4"/>
    <s v="No"/>
    <n v="478.65"/>
    <x v="1"/>
    <n v="7"/>
  </r>
  <r>
    <s v="1028"/>
    <d v="2026-01-03T00:00:00"/>
    <d v="1899-12-30T06:17:00"/>
    <x v="4"/>
    <x v="4"/>
    <s v="Patient 1028"/>
    <n v="40"/>
    <s v="MALE"/>
    <s v="Uninsured"/>
    <n v="57"/>
    <x v="16"/>
    <n v="3.6"/>
    <s v="No"/>
    <n v="741.91"/>
    <x v="0"/>
    <n v="5"/>
  </r>
  <r>
    <s v="1027"/>
    <d v="2026-01-03T00:00:00"/>
    <d v="1899-12-30T11:29:00"/>
    <x v="4"/>
    <x v="4"/>
    <s v="Patient 1027"/>
    <n v="67"/>
    <s v="FEMALE"/>
    <s v="Medicare"/>
    <n v="40"/>
    <x v="17"/>
    <n v="3.9"/>
    <s v="No"/>
    <n v="697.8"/>
    <x v="1"/>
    <n v="8"/>
  </r>
  <r>
    <s v="1029"/>
    <d v="2026-01-03T00:00:00"/>
    <d v="1899-12-30T18:38:00"/>
    <x v="3"/>
    <x v="3"/>
    <s v="Patient 1029"/>
    <n v="21"/>
    <s v="FEMALE"/>
    <s v="Medicare"/>
    <n v="78"/>
    <x v="18"/>
    <n v="2.4"/>
    <s v="No"/>
    <n v="1929.89"/>
    <x v="2"/>
    <n v="6"/>
  </r>
  <r>
    <s v="1025"/>
    <d v="2026-01-03T00:00:00"/>
    <d v="1899-12-30T22:32:00"/>
    <x v="4"/>
    <x v="4"/>
    <s v="Patient 1025"/>
    <n v="51"/>
    <s v="MALE"/>
    <s v="Private"/>
    <n v="78"/>
    <x v="19"/>
    <n v="3.4"/>
    <s v="No"/>
    <n v="423.08"/>
    <x v="2"/>
    <n v="8"/>
  </r>
  <r>
    <s v="1022"/>
    <d v="2026-01-03T00:00:00"/>
    <d v="1899-12-30T20:11:00"/>
    <x v="0"/>
    <x v="0"/>
    <s v="Patient 1022"/>
    <n v="70"/>
    <s v="MALE"/>
    <s v="Private"/>
    <n v="108"/>
    <x v="20"/>
    <n v="2"/>
    <s v="No"/>
    <n v="1472.45"/>
    <x v="2"/>
    <n v="7"/>
  </r>
  <r>
    <s v="1026"/>
    <d v="2026-01-03T00:00:00"/>
    <d v="1899-12-30T19:45:00"/>
    <x v="4"/>
    <x v="4"/>
    <s v="Patient 1026"/>
    <n v="31"/>
    <s v="MALE"/>
    <s v="Medicare"/>
    <n v="75"/>
    <x v="21"/>
    <n v="3.3"/>
    <s v="No"/>
    <n v="909.27"/>
    <x v="2"/>
    <n v="8"/>
  </r>
  <r>
    <s v="1016"/>
    <d v="2026-01-03T00:00:00"/>
    <d v="1899-12-30T18:20:00"/>
    <x v="4"/>
    <x v="4"/>
    <s v="Patient 1016"/>
    <n v="94"/>
    <s v="MALE"/>
    <s v="Medicare"/>
    <n v="81"/>
    <x v="22"/>
    <n v="3"/>
    <s v="No"/>
    <n v="397.15"/>
    <x v="2"/>
    <n v="8"/>
  </r>
  <r>
    <s v="1023"/>
    <d v="2026-01-03T00:00:00"/>
    <d v="1899-12-30T10:01:00"/>
    <x v="1"/>
    <x v="1"/>
    <s v="Patient 1023"/>
    <n v="51"/>
    <s v="FEMALE"/>
    <s v="Private"/>
    <n v="46"/>
    <x v="23"/>
    <m/>
    <s v="Yes"/>
    <n v="1407.57"/>
    <x v="1"/>
    <n v="6"/>
  </r>
  <r>
    <s v="1021"/>
    <d v="2026-01-03T00:00:00"/>
    <d v="1899-12-30T02:35:00"/>
    <x v="1"/>
    <x v="1"/>
    <s v="Patient 1021"/>
    <n v="37"/>
    <s v="FEMALE"/>
    <s v="Medicaid"/>
    <n v="52"/>
    <x v="24"/>
    <n v="3.6"/>
    <s v="No"/>
    <n v="3000.01"/>
    <x v="0"/>
    <n v="4"/>
  </r>
  <r>
    <s v="1018"/>
    <d v="2026-01-03T00:00:00"/>
    <d v="1899-12-30T04:06:00"/>
    <x v="4"/>
    <x v="4"/>
    <s v="Patient 1018"/>
    <n v="41"/>
    <s v="FEMALE"/>
    <s v="Medicaid"/>
    <n v="58"/>
    <x v="12"/>
    <n v="2.7"/>
    <s v="No"/>
    <n v="952.15"/>
    <x v="0"/>
    <n v="5"/>
  </r>
  <r>
    <s v="1037"/>
    <d v="2026-01-04T00:00:00"/>
    <d v="1899-12-30T07:53:00"/>
    <x v="0"/>
    <x v="0"/>
    <s v="Patient 1037"/>
    <n v="30"/>
    <s v="MALE"/>
    <s v="Medicaid"/>
    <n v="80"/>
    <x v="10"/>
    <n v="4.4000000000000004"/>
    <s v="No"/>
    <n v="3403.65"/>
    <x v="1"/>
    <n v="10"/>
  </r>
  <r>
    <s v="1038"/>
    <d v="2026-01-04T00:00:00"/>
    <d v="1899-12-30T09:05:00"/>
    <x v="4"/>
    <x v="4"/>
    <s v="Patient 1038"/>
    <n v="6"/>
    <s v="MALE"/>
    <s v="Private"/>
    <n v="38"/>
    <x v="20"/>
    <n v="4.5"/>
    <s v="No"/>
    <n v="1177.96"/>
    <x v="1"/>
    <n v="4"/>
  </r>
  <r>
    <s v="1032"/>
    <d v="2026-01-04T00:00:00"/>
    <d v="1899-12-30T18:14:00"/>
    <x v="1"/>
    <x v="1"/>
    <s v="Patient 1032"/>
    <n v="59"/>
    <s v="FEMALE"/>
    <s v="Medicare"/>
    <n v="48"/>
    <x v="7"/>
    <n v="3.2"/>
    <s v="No"/>
    <n v="1097.6300000000001"/>
    <x v="2"/>
    <n v="2"/>
  </r>
  <r>
    <s v="1033"/>
    <d v="2026-01-04T00:00:00"/>
    <d v="1899-12-30T13:31:00"/>
    <x v="4"/>
    <x v="4"/>
    <s v="Patient 1033"/>
    <n v="25"/>
    <s v="FEMALE"/>
    <s v="Private"/>
    <n v="37"/>
    <x v="25"/>
    <n v="4"/>
    <s v="No"/>
    <n v="797.29"/>
    <x v="1"/>
    <n v="4"/>
  </r>
  <r>
    <s v="1041"/>
    <d v="2026-01-04T00:00:00"/>
    <d v="1899-12-30T11:23:00"/>
    <x v="1"/>
    <x v="1"/>
    <s v="Patient 1041"/>
    <n v="44"/>
    <s v="MALE"/>
    <s v="Uninsured"/>
    <n v="33"/>
    <x v="12"/>
    <n v="3.6"/>
    <s v="No"/>
    <n v="2153.38"/>
    <x v="1"/>
    <n v="7"/>
  </r>
  <r>
    <s v="1031"/>
    <d v="2026-01-04T00:00:00"/>
    <d v="1899-12-30T14:15:00"/>
    <x v="4"/>
    <x v="4"/>
    <s v="Patient 1031"/>
    <n v="27"/>
    <s v="MALE"/>
    <s v="Medicare"/>
    <n v="67"/>
    <x v="26"/>
    <n v="3.4"/>
    <s v="No"/>
    <n v="1067.52"/>
    <x v="1"/>
    <n v="4"/>
  </r>
  <r>
    <s v="1035"/>
    <d v="2026-01-04T00:00:00"/>
    <d v="1899-12-30T11:07:00"/>
    <x v="4"/>
    <x v="4"/>
    <s v="Patient 1035"/>
    <n v="43"/>
    <s v="FEMALE"/>
    <s v="Private"/>
    <n v="70"/>
    <x v="27"/>
    <m/>
    <s v="Yes"/>
    <n v="617.69000000000005"/>
    <x v="1"/>
    <n v="4"/>
  </r>
  <r>
    <s v="1030"/>
    <d v="2026-01-04T00:00:00"/>
    <d v="1899-12-30T19:51:00"/>
    <x v="3"/>
    <x v="3"/>
    <s v="Patient 1030"/>
    <n v="77"/>
    <s v="MALE"/>
    <s v="Private"/>
    <n v="60"/>
    <x v="28"/>
    <n v="3"/>
    <s v="Yes"/>
    <n v="973.93"/>
    <x v="2"/>
    <n v="5"/>
  </r>
  <r>
    <s v="1034"/>
    <d v="2026-01-04T00:00:00"/>
    <d v="1899-12-30T02:29:00"/>
    <x v="0"/>
    <x v="0"/>
    <s v="Patient 1034"/>
    <n v="69"/>
    <s v="MALE"/>
    <s v="Uninsured"/>
    <n v="84"/>
    <x v="29"/>
    <n v="3"/>
    <s v="No"/>
    <n v="3745.29"/>
    <x v="0"/>
    <n v="2"/>
  </r>
  <r>
    <s v="1036"/>
    <d v="2026-01-04T00:00:00"/>
    <d v="1899-12-30T11:20:00"/>
    <x v="4"/>
    <x v="4"/>
    <s v="Patient 1036"/>
    <n v="46"/>
    <s v="MALE"/>
    <s v="Medicaid"/>
    <n v="81"/>
    <x v="30"/>
    <n v="2.8"/>
    <s v="No"/>
    <n v="404.72"/>
    <x v="1"/>
    <n v="4"/>
  </r>
  <r>
    <s v="1039"/>
    <d v="2026-01-04T00:00:00"/>
    <d v="1899-12-30T12:15:00"/>
    <x v="4"/>
    <x v="4"/>
    <s v="Patient 1039"/>
    <n v="34"/>
    <s v="FEMALE"/>
    <s v="Medicaid"/>
    <n v="66"/>
    <x v="18"/>
    <n v="3"/>
    <s v="No"/>
    <n v="461.6"/>
    <x v="1"/>
    <n v="4"/>
  </r>
  <r>
    <s v="1035"/>
    <d v="2026-01-04T00:00:00"/>
    <d v="1899-12-30T11:07:00"/>
    <x v="4"/>
    <x v="4"/>
    <s v="Patient 1035"/>
    <n v="43"/>
    <s v="FEMALE"/>
    <s v="Private"/>
    <n v="70"/>
    <x v="27"/>
    <m/>
    <s v="Yes"/>
    <n v="617.69000000000005"/>
    <x v="1"/>
    <n v="4"/>
  </r>
  <r>
    <s v="1040"/>
    <d v="2026-01-04T00:00:00"/>
    <d v="1899-12-30T08:12:00"/>
    <x v="1"/>
    <x v="1"/>
    <s v="Patient 1040"/>
    <n v="44"/>
    <s v="FEMALE"/>
    <s v="Uninsured"/>
    <n v="40"/>
    <x v="5"/>
    <n v="3.7"/>
    <s v="No"/>
    <n v="2147.11"/>
    <x v="1"/>
    <n v="7"/>
  </r>
  <r>
    <s v="1043"/>
    <d v="2026-01-05T00:00:00"/>
    <d v="1899-12-30T16:48:00"/>
    <x v="2"/>
    <x v="2"/>
    <s v="Patient 1043"/>
    <n v="60"/>
    <s v="FEMALE"/>
    <s v="Medicare"/>
    <n v="57"/>
    <x v="9"/>
    <n v="3.4"/>
    <s v="No"/>
    <n v="969.59"/>
    <x v="2"/>
    <n v="5"/>
  </r>
  <r>
    <s v="1046"/>
    <d v="2026-01-05T00:00:00"/>
    <d v="1899-12-30T00:18:00"/>
    <x v="3"/>
    <x v="3"/>
    <s v="Patient 1046"/>
    <n v="54"/>
    <s v="FEMALE"/>
    <s v="Medicare"/>
    <n v="62"/>
    <x v="31"/>
    <n v="3.6"/>
    <s v="No"/>
    <n v="1254.19"/>
    <x v="0"/>
    <n v="3"/>
  </r>
  <r>
    <s v="1048"/>
    <d v="2026-01-05T00:00:00"/>
    <d v="1899-12-30T09:41:00"/>
    <x v="4"/>
    <x v="4"/>
    <s v="Patient 1048"/>
    <n v="67"/>
    <s v="FEMALE"/>
    <s v="Medicaid"/>
    <n v="37"/>
    <x v="32"/>
    <n v="3.4"/>
    <s v="Yes"/>
    <n v="985.85"/>
    <x v="1"/>
    <n v="6"/>
  </r>
  <r>
    <s v="1044"/>
    <d v="2026-01-05T00:00:00"/>
    <d v="1899-12-30T06:33:00"/>
    <x v="3"/>
    <x v="3"/>
    <s v="Patient 1044"/>
    <n v="53"/>
    <s v="MALE"/>
    <s v="Private"/>
    <n v="53"/>
    <x v="11"/>
    <n v="4"/>
    <s v="No"/>
    <n v="1520.87"/>
    <x v="0"/>
    <n v="3"/>
  </r>
  <r>
    <s v="1047"/>
    <d v="2026-01-05T00:00:00"/>
    <d v="1899-12-30T21:09:00"/>
    <x v="0"/>
    <x v="0"/>
    <s v="Patient 1047"/>
    <n v="8"/>
    <s v="FEMALE"/>
    <s v="Private"/>
    <n v="56"/>
    <x v="33"/>
    <n v="3.6"/>
    <s v="No"/>
    <n v="3551.73"/>
    <x v="2"/>
    <n v="4"/>
  </r>
  <r>
    <s v="1045"/>
    <d v="2026-01-05T00:00:00"/>
    <d v="1899-12-30T16:03:00"/>
    <x v="0"/>
    <x v="0"/>
    <s v="Patient 1045"/>
    <n v="17"/>
    <s v="FEMALE"/>
    <s v="Medicare"/>
    <n v="73"/>
    <x v="34"/>
    <n v="2.6"/>
    <s v="No"/>
    <n v="2516.0300000000002"/>
    <x v="2"/>
    <n v="4"/>
  </r>
  <r>
    <s v="1042"/>
    <d v="2026-01-05T00:00:00"/>
    <d v="1899-12-30T18:51:00"/>
    <x v="0"/>
    <x v="0"/>
    <s v="Patient 1042"/>
    <n v="31"/>
    <s v="FEMALE"/>
    <s v="Medicare"/>
    <n v="71"/>
    <x v="35"/>
    <n v="4.5"/>
    <s v="No"/>
    <n v="2420.79"/>
    <x v="2"/>
    <n v="4"/>
  </r>
  <r>
    <s v="1049"/>
    <d v="2026-01-05T00:00:00"/>
    <d v="1899-12-30T18:05:00"/>
    <x v="4"/>
    <x v="4"/>
    <s v="Patient 1049"/>
    <n v="10"/>
    <s v="MALE"/>
    <s v="Medicaid"/>
    <n v="53"/>
    <x v="36"/>
    <n v="4.2"/>
    <s v="No"/>
    <n v="830.81"/>
    <x v="2"/>
    <n v="9"/>
  </r>
  <r>
    <s v="1050"/>
    <d v="2026-01-06T00:00:00"/>
    <d v="1899-12-30T06:58:00"/>
    <x v="2"/>
    <x v="2"/>
    <s v="Patient 1050"/>
    <n v="20"/>
    <s v="MALE"/>
    <s v="Uninsured"/>
    <n v="29"/>
    <x v="12"/>
    <n v="3.6"/>
    <s v="No"/>
    <n v="818.25"/>
    <x v="0"/>
    <n v="3"/>
  </r>
  <r>
    <s v="1052"/>
    <d v="2026-01-06T00:00:00"/>
    <d v="1899-12-30T19:49:00"/>
    <x v="4"/>
    <x v="4"/>
    <s v="Patient 1052"/>
    <n v="1"/>
    <s v="FEMALE"/>
    <s v="Medicaid"/>
    <n v="56"/>
    <x v="7"/>
    <m/>
    <s v="No"/>
    <n v="1133.1099999999999"/>
    <x v="2"/>
    <n v="10"/>
  </r>
  <r>
    <s v="1051"/>
    <d v="2026-01-06T00:00:00"/>
    <d v="1899-12-30T16:04:00"/>
    <x v="2"/>
    <x v="2"/>
    <s v="Patient 1051"/>
    <n v="61"/>
    <s v="MALE"/>
    <s v="Medicaid"/>
    <n v="36"/>
    <x v="37"/>
    <n v="4.4000000000000004"/>
    <s v="No"/>
    <n v="795.83"/>
    <x v="2"/>
    <n v="5"/>
  </r>
  <r>
    <s v="1053"/>
    <d v="2026-01-06T00:00:00"/>
    <d v="1899-12-30T20:04:00"/>
    <x v="4"/>
    <x v="4"/>
    <s v="Patient 1053"/>
    <n v="30"/>
    <s v="FEMALE"/>
    <s v="Uninsured"/>
    <n v="49"/>
    <x v="21"/>
    <n v="4.2"/>
    <s v="No"/>
    <n v="902.67"/>
    <x v="2"/>
    <n v="10"/>
  </r>
  <r>
    <s v="1054"/>
    <d v="2026-01-06T00:00:00"/>
    <d v="1899-12-30T08:53:00"/>
    <x v="0"/>
    <x v="0"/>
    <s v="Patient 1054"/>
    <n v="55"/>
    <s v="FEMALE"/>
    <s v="Medicaid"/>
    <n v="41"/>
    <x v="38"/>
    <n v="3.7"/>
    <s v="No"/>
    <n v="2668.27"/>
    <x v="1"/>
    <n v="11"/>
  </r>
  <r>
    <s v="1055"/>
    <d v="2026-01-06T00:00:00"/>
    <d v="1899-12-30T10:51:00"/>
    <x v="0"/>
    <x v="0"/>
    <s v="Patient 1055"/>
    <n v="34"/>
    <s v="MALE"/>
    <s v="Private"/>
    <n v="68"/>
    <x v="39"/>
    <n v="3.3"/>
    <s v="No"/>
    <n v="4155.62"/>
    <x v="1"/>
    <n v="11"/>
  </r>
  <r>
    <s v="1058"/>
    <d v="2026-01-07T00:00:00"/>
    <d v="1899-12-30T14:41:00"/>
    <x v="1"/>
    <x v="1"/>
    <s v="Patient 1058"/>
    <n v="50"/>
    <s v="FEMALE"/>
    <s v="Medicare"/>
    <n v="29"/>
    <x v="39"/>
    <m/>
    <s v="No"/>
    <n v="1392.95"/>
    <x v="1"/>
    <n v="7"/>
  </r>
  <r>
    <s v="1062"/>
    <d v="2026-01-07T00:00:00"/>
    <d v="1899-12-30T12:33:00"/>
    <x v="4"/>
    <x v="4"/>
    <s v="Patient 1062"/>
    <n v="20"/>
    <s v="FEMALE"/>
    <s v="Private"/>
    <n v="53"/>
    <x v="40"/>
    <m/>
    <s v="No"/>
    <n v="402.27"/>
    <x v="1"/>
    <n v="5"/>
  </r>
  <r>
    <s v="1059"/>
    <d v="2026-01-07T00:00:00"/>
    <d v="1899-12-30T17:13:00"/>
    <x v="1"/>
    <x v="1"/>
    <s v="Patient 1059"/>
    <n v="93"/>
    <s v="FEMALE"/>
    <s v="Uninsured"/>
    <n v="10"/>
    <x v="21"/>
    <n v="4.4000000000000004"/>
    <s v="No"/>
    <n v="1288.48"/>
    <x v="2"/>
    <n v="3"/>
  </r>
  <r>
    <s v="1060"/>
    <d v="2026-01-07T00:00:00"/>
    <d v="1899-12-30T15:59:00"/>
    <x v="4"/>
    <x v="4"/>
    <s v="Patient 1060"/>
    <n v="73"/>
    <s v="FEMALE"/>
    <s v="Private"/>
    <n v="51"/>
    <x v="6"/>
    <m/>
    <s v="No"/>
    <n v="960.95"/>
    <x v="2"/>
    <n v="8"/>
  </r>
  <r>
    <s v="1056"/>
    <d v="2026-01-07T00:00:00"/>
    <d v="1899-12-30T21:23:00"/>
    <x v="4"/>
    <x v="4"/>
    <s v="Patient 1056"/>
    <n v="3"/>
    <s v="MALE"/>
    <s v="Medicare"/>
    <n v="61"/>
    <x v="23"/>
    <n v="3.7"/>
    <s v="No"/>
    <n v="816.38"/>
    <x v="2"/>
    <n v="8"/>
  </r>
  <r>
    <s v="1057"/>
    <d v="2026-01-07T00:00:00"/>
    <d v="1899-12-30T20:52:00"/>
    <x v="4"/>
    <x v="4"/>
    <s v="Patient 1057"/>
    <n v="134"/>
    <s v="FEMALE"/>
    <s v="Medicare"/>
    <n v="80"/>
    <x v="32"/>
    <n v="3.4"/>
    <s v="No"/>
    <n v="1093.78"/>
    <x v="2"/>
    <n v="8"/>
  </r>
  <r>
    <s v="1061"/>
    <d v="2026-01-07T00:00:00"/>
    <d v="1899-12-30T05:59:00"/>
    <x v="2"/>
    <x v="2"/>
    <s v="Patient 1061"/>
    <n v="31"/>
    <s v="FEMALE"/>
    <s v="Medicaid"/>
    <n v="57"/>
    <x v="26"/>
    <n v="2.6"/>
    <s v="No"/>
    <n v="851.34"/>
    <x v="0"/>
    <n v="3"/>
  </r>
  <r>
    <s v="1066"/>
    <d v="2026-01-08T00:00:00"/>
    <d v="1899-12-30T06:22:00"/>
    <x v="2"/>
    <x v="2"/>
    <s v="Patient 1066"/>
    <n v="78"/>
    <s v="FEMALE"/>
    <s v="Medicare"/>
    <n v="39"/>
    <x v="41"/>
    <n v="3.8"/>
    <s v="No"/>
    <n v="610.74"/>
    <x v="0"/>
    <n v="1"/>
  </r>
  <r>
    <s v="1067"/>
    <d v="2026-01-08T00:00:00"/>
    <d v="1899-12-30T16:17:00"/>
    <x v="4"/>
    <x v="4"/>
    <s v="Patient 1067"/>
    <n v="46"/>
    <s v="FEMALE"/>
    <s v="Medicare"/>
    <n v="77"/>
    <x v="24"/>
    <n v="4.0999999999999996"/>
    <s v="No"/>
    <n v="718.54"/>
    <x v="2"/>
    <n v="8"/>
  </r>
  <r>
    <s v="1064"/>
    <d v="2026-01-08T00:00:00"/>
    <d v="1899-12-30T09:30:00"/>
    <x v="4"/>
    <x v="4"/>
    <s v="Patient 1064"/>
    <n v="49"/>
    <s v="FEMALE"/>
    <s v="Medicaid"/>
    <n v="56"/>
    <x v="7"/>
    <n v="4"/>
    <s v="Yes"/>
    <n v="975.07"/>
    <x v="1"/>
    <n v="9"/>
  </r>
  <r>
    <s v="1063"/>
    <d v="2026-01-08T00:00:00"/>
    <d v="1899-12-30T11:26:00"/>
    <x v="3"/>
    <x v="3"/>
    <s v="Patient 1063"/>
    <n v="66"/>
    <s v="FEMALE"/>
    <s v="Medicaid"/>
    <n v="63"/>
    <x v="42"/>
    <n v="3.8"/>
    <s v="No"/>
    <n v="2015.27"/>
    <x v="1"/>
    <n v="5"/>
  </r>
  <r>
    <s v="1065"/>
    <d v="2026-01-08T00:00:00"/>
    <d v="1899-12-30T16:50:00"/>
    <x v="4"/>
    <x v="4"/>
    <s v="Patient 1065"/>
    <n v="49"/>
    <s v="MALE"/>
    <s v="Uninsured"/>
    <n v="45"/>
    <x v="43"/>
    <n v="4"/>
    <s v="No"/>
    <n v="1149.67"/>
    <x v="2"/>
    <n v="8"/>
  </r>
  <r>
    <s v="1068"/>
    <d v="2026-01-09T00:00:00"/>
    <d v="1899-12-30T19:47:00"/>
    <x v="1"/>
    <x v="1"/>
    <s v="Patient 1068"/>
    <n v="29"/>
    <s v="MALE"/>
    <s v="Medicare"/>
    <n v="68"/>
    <x v="44"/>
    <n v="2.6"/>
    <s v="No"/>
    <n v="2389"/>
    <x v="2"/>
    <n v="6"/>
  </r>
  <r>
    <s v="1069"/>
    <d v="2026-01-09T00:00:00"/>
    <d v="1899-12-30T20:46:00"/>
    <x v="4"/>
    <x v="4"/>
    <s v="Patient 1069"/>
    <n v="44"/>
    <s v="MALE"/>
    <s v="Medicare"/>
    <n v="84"/>
    <x v="45"/>
    <n v="3.5"/>
    <s v="No"/>
    <n v="806.31"/>
    <x v="2"/>
    <n v="11"/>
  </r>
  <r>
    <s v="1075"/>
    <d v="2026-01-09T00:00:00"/>
    <d v="1899-12-30T18:10:00"/>
    <x v="0"/>
    <x v="0"/>
    <s v="Patient 1075"/>
    <n v="67"/>
    <s v="FEMALE"/>
    <s v="Medicaid"/>
    <n v="86"/>
    <x v="3"/>
    <n v="3.5"/>
    <s v="Yes"/>
    <n v="5193.92"/>
    <x v="2"/>
    <n v="5"/>
  </r>
  <r>
    <s v="1074"/>
    <d v="2026-01-09T00:00:00"/>
    <d v="1899-12-30T20:59:00"/>
    <x v="4"/>
    <x v="4"/>
    <s v="Patient 1074"/>
    <n v="20"/>
    <s v="MALE"/>
    <s v="Medicaid"/>
    <n v="61"/>
    <x v="43"/>
    <n v="2.4"/>
    <s v="No"/>
    <n v="996.47"/>
    <x v="2"/>
    <n v="11"/>
  </r>
  <r>
    <s v="1070"/>
    <d v="2026-01-09T00:00:00"/>
    <d v="1899-12-30T12:06:00"/>
    <x v="3"/>
    <x v="3"/>
    <s v="Patient 1070"/>
    <n v="50"/>
    <s v="MALE"/>
    <s v="Private"/>
    <n v="39"/>
    <x v="36"/>
    <n v="4.0999999999999996"/>
    <s v="No"/>
    <m/>
    <x v="1"/>
    <n v="7"/>
  </r>
  <r>
    <s v="1073"/>
    <d v="2026-01-09T00:00:00"/>
    <d v="1899-12-30T05:56:00"/>
    <x v="3"/>
    <x v="3"/>
    <s v="Patient 1073"/>
    <n v="50"/>
    <s v="MALE"/>
    <s v="Medicare"/>
    <n v="41"/>
    <x v="2"/>
    <n v="3.7"/>
    <s v="No"/>
    <n v="1478.69"/>
    <x v="0"/>
    <n v="2"/>
  </r>
  <r>
    <s v="1072"/>
    <d v="2026-01-09T00:00:00"/>
    <d v="1899-12-30T14:25:00"/>
    <x v="1"/>
    <x v="1"/>
    <s v="Patient 1072"/>
    <n v="30"/>
    <s v="MALE"/>
    <s v="Private"/>
    <n v="59"/>
    <x v="46"/>
    <n v="4.2"/>
    <s v="No"/>
    <n v="1844.14"/>
    <x v="1"/>
    <n v="6"/>
  </r>
  <r>
    <s v="1071"/>
    <d v="2026-01-09T00:00:00"/>
    <d v="1899-12-30T10:51:00"/>
    <x v="2"/>
    <x v="2"/>
    <s v="Patient 1071"/>
    <n v="37"/>
    <s v="FEMALE"/>
    <s v="Medicaid"/>
    <n v="31"/>
    <x v="23"/>
    <n v="4.2"/>
    <s v="No"/>
    <n v="490.78"/>
    <x v="1"/>
    <n v="4"/>
  </r>
  <r>
    <s v="1076"/>
    <d v="2026-01-09T00:00:00"/>
    <d v="1899-12-30T19:27:00"/>
    <x v="1"/>
    <x v="1"/>
    <s v="Patient 1076"/>
    <n v="15"/>
    <s v="FEMALE"/>
    <s v="Private"/>
    <n v="45"/>
    <x v="46"/>
    <n v="3.5"/>
    <s v="No"/>
    <n v="1673.86"/>
    <x v="2"/>
    <n v="6"/>
  </r>
  <r>
    <s v="1078"/>
    <d v="2026-01-10T00:00:00"/>
    <d v="1899-12-30T07:02:00"/>
    <x v="4"/>
    <x v="4"/>
    <s v="Patient 1078"/>
    <n v="7"/>
    <s v="FEMALE"/>
    <s v="Medicare"/>
    <n v="47"/>
    <x v="47"/>
    <n v="3.8"/>
    <s v="No"/>
    <n v="906.63"/>
    <x v="1"/>
    <n v="8"/>
  </r>
  <r>
    <s v="1084"/>
    <d v="2026-01-10T00:00:00"/>
    <d v="1899-12-30T18:52:00"/>
    <x v="0"/>
    <x v="0"/>
    <s v="Patient 1084"/>
    <n v="39"/>
    <s v="MALE"/>
    <s v="Medicaid"/>
    <n v="119"/>
    <x v="48"/>
    <n v="2.1"/>
    <s v="No"/>
    <n v="2753.77"/>
    <x v="2"/>
    <n v="7"/>
  </r>
  <r>
    <s v="1079"/>
    <d v="2026-01-10T00:00:00"/>
    <d v="1899-12-30T18:38:00"/>
    <x v="1"/>
    <x v="1"/>
    <s v="Patient 1079"/>
    <n v="14"/>
    <s v="MALE"/>
    <s v="Medicaid"/>
    <n v="89"/>
    <x v="31"/>
    <n v="2.9"/>
    <s v="No"/>
    <n v="1859.87"/>
    <x v="2"/>
    <n v="2"/>
  </r>
  <r>
    <s v="1080"/>
    <d v="2026-01-10T00:00:00"/>
    <d v="1899-12-30T19:10:00"/>
    <x v="1"/>
    <x v="1"/>
    <s v="Patient 1080"/>
    <n v="24"/>
    <s v="MALE"/>
    <s v="Private"/>
    <n v="68"/>
    <x v="49"/>
    <n v="3.3"/>
    <s v="No"/>
    <n v="1794.17"/>
    <x v="2"/>
    <n v="2"/>
  </r>
  <r>
    <s v="1077"/>
    <d v="2026-01-10T00:00:00"/>
    <d v="1899-12-30T17:40:00"/>
    <x v="3"/>
    <x v="3"/>
    <s v="Patient 1077"/>
    <n v="38"/>
    <s v="MALE"/>
    <s v="Medicare"/>
    <n v="94"/>
    <x v="50"/>
    <n v="2.7"/>
    <s v="No"/>
    <n v="1785.83"/>
    <x v="2"/>
    <n v="6"/>
  </r>
  <r>
    <s v="1082"/>
    <d v="2026-01-10T00:00:00"/>
    <d v="1899-12-30T13:41:00"/>
    <x v="4"/>
    <x v="4"/>
    <s v="Patient 1082"/>
    <n v="8"/>
    <s v="FEMALE"/>
    <s v="Private"/>
    <n v="51"/>
    <x v="51"/>
    <n v="3.2"/>
    <s v="No"/>
    <n v="813.73"/>
    <x v="1"/>
    <n v="8"/>
  </r>
  <r>
    <s v="1083"/>
    <d v="2026-01-10T00:00:00"/>
    <d v="1899-12-30T11:09:00"/>
    <x v="4"/>
    <x v="4"/>
    <s v="Patient 1083"/>
    <n v="46"/>
    <s v="MALE"/>
    <s v="Private"/>
    <n v="31"/>
    <x v="50"/>
    <n v="3.5"/>
    <s v="No"/>
    <n v="753.06"/>
    <x v="1"/>
    <n v="8"/>
  </r>
  <r>
    <s v="1081"/>
    <d v="2026-01-10T00:00:00"/>
    <d v="1899-12-30T11:13:00"/>
    <x v="4"/>
    <x v="4"/>
    <s v="Patient 1081"/>
    <n v="1"/>
    <s v="MALE"/>
    <s v="Medicare"/>
    <n v="35"/>
    <x v="52"/>
    <n v="4.3"/>
    <s v="No"/>
    <n v="728.2"/>
    <x v="1"/>
    <n v="8"/>
  </r>
  <r>
    <s v="1094"/>
    <d v="2026-01-11T00:00:00"/>
    <d v="1899-12-30T07:09:00"/>
    <x v="4"/>
    <x v="4"/>
    <s v="Patient 1094"/>
    <n v="17"/>
    <s v="MALE"/>
    <s v="Private"/>
    <n v="31"/>
    <x v="40"/>
    <n v="4"/>
    <s v="No"/>
    <n v="1058.3800000000001"/>
    <x v="1"/>
    <n v="7"/>
  </r>
  <r>
    <s v="1090"/>
    <d v="2026-01-11T00:00:00"/>
    <d v="1899-12-30T06:04:00"/>
    <x v="4"/>
    <x v="4"/>
    <s v="Patient 1090"/>
    <n v="33"/>
    <s v="FEMALE"/>
    <s v="Uninsured"/>
    <n v="40"/>
    <x v="28"/>
    <n v="3.4"/>
    <s v="No"/>
    <n v="800.66"/>
    <x v="0"/>
    <n v="6"/>
  </r>
  <r>
    <s v="1092"/>
    <d v="2026-01-11T00:00:00"/>
    <d v="1899-12-30T18:14:00"/>
    <x v="0"/>
    <x v="0"/>
    <s v="Patient 1092"/>
    <n v="10"/>
    <s v="FEMALE"/>
    <s v="Medicaid"/>
    <n v="79"/>
    <x v="53"/>
    <n v="2.8"/>
    <s v="No"/>
    <n v="2373.19"/>
    <x v="2"/>
    <n v="6"/>
  </r>
  <r>
    <s v="1097"/>
    <d v="2026-01-11T00:00:00"/>
    <d v="1899-12-30T17:59:00"/>
    <x v="3"/>
    <x v="3"/>
    <s v="Patient 1097"/>
    <n v="24"/>
    <s v="MALE"/>
    <s v="Private"/>
    <n v="71"/>
    <x v="51"/>
    <n v="3.6"/>
    <s v="No"/>
    <n v="1588.69"/>
    <x v="2"/>
    <n v="5"/>
  </r>
  <r>
    <s v="1091"/>
    <d v="2026-01-11T00:00:00"/>
    <d v="1899-12-30T18:12:00"/>
    <x v="0"/>
    <x v="0"/>
    <s v="Patient 1091"/>
    <n v="32"/>
    <s v="MALE"/>
    <s v="Medicaid"/>
    <n v="98"/>
    <x v="0"/>
    <n v="1.7"/>
    <s v="No"/>
    <n v="3891.88"/>
    <x v="2"/>
    <n v="6"/>
  </r>
  <r>
    <s v="1096"/>
    <d v="2026-01-11T00:00:00"/>
    <d v="1899-12-30T10:10:00"/>
    <x v="4"/>
    <x v="4"/>
    <s v="Patient 1096"/>
    <n v="56"/>
    <s v="FEMALE"/>
    <s v="Uninsured"/>
    <n v="46"/>
    <x v="54"/>
    <n v="3.1"/>
    <s v="No"/>
    <n v="852.68"/>
    <x v="1"/>
    <n v="7"/>
  </r>
  <r>
    <s v="1085"/>
    <d v="2026-01-11T00:00:00"/>
    <d v="1899-12-30T11:19:00"/>
    <x v="0"/>
    <x v="0"/>
    <s v="Patient 1085"/>
    <n v="54"/>
    <s v="FEMALE"/>
    <s v="Medicaid"/>
    <n v="67"/>
    <x v="55"/>
    <n v="4.0999999999999996"/>
    <s v="No"/>
    <n v="3075.78"/>
    <x v="1"/>
    <n v="7"/>
  </r>
  <r>
    <s v="1088"/>
    <d v="2026-01-11T00:00:00"/>
    <d v="1899-12-30T01:53:00"/>
    <x v="0"/>
    <x v="0"/>
    <s v="Patient 1088"/>
    <n v="24"/>
    <s v="MALE"/>
    <s v="Medicaid"/>
    <n v="77"/>
    <x v="39"/>
    <n v="3.3"/>
    <s v="No"/>
    <n v="4443.96"/>
    <x v="0"/>
    <n v="1"/>
  </r>
  <r>
    <s v="1086"/>
    <d v="2026-01-11T00:00:00"/>
    <d v="1899-12-30T13:09:00"/>
    <x v="1"/>
    <x v="1"/>
    <s v="Patient 1086"/>
    <n v="45"/>
    <s v="FEMALE"/>
    <s v="Medicaid"/>
    <n v="23"/>
    <x v="27"/>
    <n v="4.5"/>
    <s v="No"/>
    <n v="1539.29"/>
    <x v="1"/>
    <n v="6"/>
  </r>
  <r>
    <s v="1093"/>
    <d v="2026-01-11T00:00:00"/>
    <d v="1899-12-30T08:19:00"/>
    <x v="3"/>
    <x v="3"/>
    <s v="Patient 1093"/>
    <n v="21"/>
    <s v="FEMALE"/>
    <s v="Medicaid"/>
    <n v="64"/>
    <x v="56"/>
    <n v="2.2000000000000002"/>
    <s v="No"/>
    <m/>
    <x v="1"/>
    <n v="3"/>
  </r>
  <r>
    <s v="1087"/>
    <d v="2026-01-11T00:00:00"/>
    <d v="1899-12-30T11:40:00"/>
    <x v="4"/>
    <x v="4"/>
    <s v="Patient 1087"/>
    <n v="64"/>
    <s v="FEMALE"/>
    <s v="Uninsured"/>
    <n v="38"/>
    <x v="9"/>
    <n v="4.3"/>
    <s v="No"/>
    <m/>
    <x v="1"/>
    <n v="7"/>
  </r>
  <r>
    <s v="1089"/>
    <d v="2026-01-11T00:00:00"/>
    <d v="1899-12-30T19:33:00"/>
    <x v="2"/>
    <x v="2"/>
    <s v="Patient 1089"/>
    <n v="11"/>
    <s v="FEMALE"/>
    <s v="Medicaid"/>
    <n v="46"/>
    <x v="57"/>
    <n v="3.5"/>
    <s v="No"/>
    <n v="707.13"/>
    <x v="2"/>
    <n v="3"/>
  </r>
  <r>
    <s v="1095"/>
    <d v="2026-01-11T00:00:00"/>
    <d v="1899-12-30T14:13:00"/>
    <x v="0"/>
    <x v="0"/>
    <s v="Patient 1095"/>
    <n v="22"/>
    <s v="MALE"/>
    <s v="Medicare"/>
    <n v="41"/>
    <x v="25"/>
    <n v="4.2"/>
    <s v="No"/>
    <n v="3243.5"/>
    <x v="1"/>
    <n v="7"/>
  </r>
  <r>
    <s v="1101"/>
    <d v="2026-01-12T00:00:00"/>
    <d v="1899-12-30T01:55:00"/>
    <x v="2"/>
    <x v="2"/>
    <s v="Patient 1101"/>
    <n v="22"/>
    <s v="MALE"/>
    <s v="Medicare"/>
    <n v="5"/>
    <x v="17"/>
    <n v="4"/>
    <s v="No"/>
    <n v="622.52"/>
    <x v="0"/>
    <n v="1"/>
  </r>
  <r>
    <s v="1100"/>
    <d v="2026-01-12T00:00:00"/>
    <d v="1899-12-30T18:03:00"/>
    <x v="4"/>
    <x v="4"/>
    <s v="Patient 1100"/>
    <n v="999"/>
    <s v="FEMALE"/>
    <s v="Private"/>
    <n v="46"/>
    <x v="58"/>
    <n v="2.9"/>
    <s v="No"/>
    <n v="667.27"/>
    <x v="2"/>
    <n v="12"/>
  </r>
  <r>
    <s v="1102"/>
    <d v="2026-01-12T00:00:00"/>
    <d v="1899-12-30T19:49:00"/>
    <x v="0"/>
    <x v="0"/>
    <s v="Patient 1102"/>
    <n v="66"/>
    <s v="MALE"/>
    <s v="Private"/>
    <n v="91"/>
    <x v="1"/>
    <n v="3.5"/>
    <s v="No"/>
    <n v="3270.19"/>
    <x v="2"/>
    <n v="5"/>
  </r>
  <r>
    <s v="1098"/>
    <d v="2026-01-12T00:00:00"/>
    <d v="1899-12-30T18:13:00"/>
    <x v="0"/>
    <x v="0"/>
    <s v="Patient 1098"/>
    <n v="67"/>
    <s v="MALE"/>
    <s v="Private"/>
    <n v="60"/>
    <x v="59"/>
    <n v="3.6"/>
    <s v="No"/>
    <n v="2609.88"/>
    <x v="2"/>
    <n v="5"/>
  </r>
  <r>
    <s v="1099"/>
    <d v="2026-01-12T00:00:00"/>
    <d v="1899-12-30T09:45:00"/>
    <x v="4"/>
    <x v="4"/>
    <s v="Patient 1099"/>
    <n v="36"/>
    <s v="MALE"/>
    <s v="Medicaid"/>
    <n v="53"/>
    <x v="36"/>
    <n v="3.5"/>
    <s v="No"/>
    <n v="645.6"/>
    <x v="1"/>
    <n v="7"/>
  </r>
  <r>
    <s v="1103"/>
    <d v="2026-01-13T00:00:00"/>
    <d v="1899-12-30T13:00:00"/>
    <x v="2"/>
    <x v="2"/>
    <s v="Patient 1103"/>
    <n v="66"/>
    <s v="FEMALE"/>
    <s v="Private"/>
    <n v="38"/>
    <x v="36"/>
    <n v="3.4"/>
    <s v="No"/>
    <n v="663.85"/>
    <x v="1"/>
    <n v="7"/>
  </r>
  <r>
    <s v="1105"/>
    <d v="2026-01-13T00:00:00"/>
    <d v="1899-12-30T19:38:00"/>
    <x v="4"/>
    <x v="4"/>
    <s v="Patient 1105"/>
    <n v="61"/>
    <s v="FEMALE"/>
    <s v="Medicaid"/>
    <n v="69"/>
    <x v="60"/>
    <n v="3"/>
    <s v="No"/>
    <n v="953.51"/>
    <x v="2"/>
    <n v="10"/>
  </r>
  <r>
    <s v="1104"/>
    <d v="2026-01-13T00:00:00"/>
    <d v="1899-12-30T17:09:00"/>
    <x v="2"/>
    <x v="2"/>
    <s v="Patient 1104"/>
    <n v="73"/>
    <s v="FEMALE"/>
    <s v="Medicare"/>
    <n v="25"/>
    <x v="16"/>
    <n v="3.3"/>
    <s v="Yes"/>
    <n v="378.3"/>
    <x v="2"/>
    <n v="6"/>
  </r>
  <r>
    <s v="1106"/>
    <d v="2026-01-13T00:00:00"/>
    <d v="1899-12-30T18:36:00"/>
    <x v="4"/>
    <x v="4"/>
    <s v="Patient 1106"/>
    <n v="42"/>
    <s v="FEMALE"/>
    <s v="Medicaid"/>
    <n v="100"/>
    <x v="56"/>
    <n v="2.5"/>
    <s v="No"/>
    <n v="468.72"/>
    <x v="2"/>
    <n v="10"/>
  </r>
  <r>
    <s v="1107"/>
    <d v="2026-01-13T00:00:00"/>
    <d v="1899-12-30T12:49:00"/>
    <x v="2"/>
    <x v="2"/>
    <s v="Patient 1107"/>
    <n v="1"/>
    <s v="FEMALE"/>
    <s v="Medicare"/>
    <n v="9"/>
    <x v="50"/>
    <n v="4.2"/>
    <s v="No"/>
    <n v="424.55"/>
    <x v="1"/>
    <n v="7"/>
  </r>
  <r>
    <s v="1110"/>
    <d v="2026-01-13T00:00:00"/>
    <d v="1899-12-30T09:44:00"/>
    <x v="1"/>
    <x v="1"/>
    <s v="Patient 1110"/>
    <n v="86"/>
    <s v="FEMALE"/>
    <s v="Private"/>
    <n v="21"/>
    <x v="26"/>
    <m/>
    <m/>
    <n v="1772.4"/>
    <x v="1"/>
    <n v="8"/>
  </r>
  <r>
    <s v="1109"/>
    <d v="2026-01-13T00:00:00"/>
    <d v="1899-12-30T12:34:00"/>
    <x v="3"/>
    <x v="3"/>
    <s v="Patient 1109"/>
    <n v="30"/>
    <s v="MALE"/>
    <s v="Medicaid"/>
    <n v="52"/>
    <x v="18"/>
    <n v="3.7"/>
    <s v="No"/>
    <n v="1457.47"/>
    <x v="1"/>
    <n v="4"/>
  </r>
  <r>
    <s v="1108"/>
    <d v="2026-01-13T00:00:00"/>
    <d v="1899-12-30T11:54:00"/>
    <x v="4"/>
    <x v="4"/>
    <s v="Patient 1108"/>
    <n v="24"/>
    <s v="MALE"/>
    <s v="Medicare"/>
    <n v="61"/>
    <x v="46"/>
    <n v="3.5"/>
    <s v="No"/>
    <n v="714.12"/>
    <x v="1"/>
    <n v="6"/>
  </r>
  <r>
    <s v="1112"/>
    <d v="2026-01-14T00:00:00"/>
    <d v="1899-12-30T09:11:00"/>
    <x v="0"/>
    <x v="0"/>
    <s v="Patient 1112"/>
    <n v="83"/>
    <s v="MALE"/>
    <s v="Medicaid"/>
    <n v="73"/>
    <x v="61"/>
    <n v="3.7"/>
    <s v="No"/>
    <n v="2556.8200000000002"/>
    <x v="1"/>
    <n v="11"/>
  </r>
  <r>
    <s v="1113"/>
    <d v="2026-01-14T00:00:00"/>
    <d v="1899-12-30T10:05:00"/>
    <x v="3"/>
    <x v="3"/>
    <s v="Patient 1113"/>
    <n v="75"/>
    <s v="MALE"/>
    <s v="Private"/>
    <n v="38"/>
    <x v="25"/>
    <n v="3.3"/>
    <s v="No"/>
    <n v="1920.24"/>
    <x v="1"/>
    <n v="5"/>
  </r>
  <r>
    <s v="1114"/>
    <d v="2026-01-14T00:00:00"/>
    <d v="1899-12-30T18:45:00"/>
    <x v="4"/>
    <x v="4"/>
    <s v="Patient 1114"/>
    <n v="91"/>
    <s v="MALE"/>
    <s v="Medicaid"/>
    <n v="78"/>
    <x v="11"/>
    <n v="4"/>
    <s v="No"/>
    <n v="731.26"/>
    <x v="2"/>
    <n v="10"/>
  </r>
  <r>
    <s v="1111"/>
    <d v="2026-01-14T00:00:00"/>
    <d v="1899-12-30T14:01:00"/>
    <x v="4"/>
    <x v="4"/>
    <s v="Patient 1111"/>
    <n v="47"/>
    <s v="MALE"/>
    <s v="Medicaid"/>
    <n v="36"/>
    <x v="62"/>
    <n v="3.7"/>
    <s v="No"/>
    <n v="823.11"/>
    <x v="1"/>
    <n v="7"/>
  </r>
  <r>
    <s v="1115"/>
    <d v="2026-01-14T00:00:00"/>
    <d v="1899-12-30T13:51:00"/>
    <x v="4"/>
    <x v="4"/>
    <s v="Patient 1115"/>
    <n v="29"/>
    <s v="FEMALE"/>
    <s v="Medicare"/>
    <n v="55"/>
    <x v="24"/>
    <n v="3.1"/>
    <s v="No"/>
    <n v="1071.82"/>
    <x v="1"/>
    <n v="7"/>
  </r>
  <r>
    <s v="1118"/>
    <d v="2026-01-15T00:00:00"/>
    <d v="1899-12-30T10:12:00"/>
    <x v="0"/>
    <x v="0"/>
    <s v="Patient 1118"/>
    <n v="85"/>
    <s v="MALE"/>
    <s v="Private"/>
    <n v="54"/>
    <x v="63"/>
    <n v="3.5"/>
    <s v="No"/>
    <n v="3993.41"/>
    <x v="1"/>
    <n v="8"/>
  </r>
  <r>
    <s v="1123"/>
    <d v="2026-01-15T00:00:00"/>
    <d v="1899-12-30T10:05:00"/>
    <x v="0"/>
    <x v="0"/>
    <s v="Patient 1123"/>
    <n v="40"/>
    <s v="FEMALE"/>
    <s v="Private"/>
    <n v="56"/>
    <x v="61"/>
    <n v="3.9"/>
    <s v="No"/>
    <n v="5013.43"/>
    <x v="1"/>
    <n v="8"/>
  </r>
  <r>
    <s v="1121"/>
    <d v="2026-01-15T00:00:00"/>
    <d v="1899-12-30T21:05:00"/>
    <x v="1"/>
    <x v="1"/>
    <s v="Patient 1121"/>
    <n v="24"/>
    <s v="FEMALE"/>
    <s v="Medicaid"/>
    <n v="47"/>
    <x v="9"/>
    <n v="3.3"/>
    <s v="No"/>
    <n v="590.12"/>
    <x v="2"/>
    <n v="4"/>
  </r>
  <r>
    <s v="1116"/>
    <d v="2026-01-15T00:00:00"/>
    <d v="1899-12-30T19:40:00"/>
    <x v="0"/>
    <x v="0"/>
    <s v="Patient 1116"/>
    <n v="79"/>
    <s v="MALE"/>
    <s v="Uninsured"/>
    <n v="62"/>
    <x v="10"/>
    <n v="2.5"/>
    <s v="No"/>
    <n v="3358.29"/>
    <x v="2"/>
    <n v="7"/>
  </r>
  <r>
    <s v="1124"/>
    <d v="2026-01-15T00:00:00"/>
    <d v="1899-12-30T10:28:00"/>
    <x v="4"/>
    <x v="4"/>
    <s v="Patient 1124"/>
    <n v="51"/>
    <s v="FEMALE"/>
    <s v="Private"/>
    <n v="52"/>
    <x v="4"/>
    <n v="3.4"/>
    <s v="No"/>
    <n v="1085.1400000000001"/>
    <x v="1"/>
    <n v="9"/>
  </r>
  <r>
    <s v="1119"/>
    <d v="2026-01-15T00:00:00"/>
    <d v="1899-12-30T08:00:00"/>
    <x v="0"/>
    <x v="0"/>
    <s v="Patient 1119"/>
    <n v="48"/>
    <s v="MALE"/>
    <s v="Private"/>
    <n v="54"/>
    <x v="8"/>
    <n v="4"/>
    <s v="No"/>
    <n v="3526.07"/>
    <x v="1"/>
    <n v="8"/>
  </r>
  <r>
    <s v="1122"/>
    <d v="2026-01-15T00:00:00"/>
    <d v="1899-12-30T06:22:00"/>
    <x v="2"/>
    <x v="2"/>
    <s v="Patient 1122"/>
    <n v="20"/>
    <s v="FEMALE"/>
    <s v="Private"/>
    <n v="38"/>
    <x v="64"/>
    <n v="3.6"/>
    <s v="Yes"/>
    <n v="533.55999999999995"/>
    <x v="0"/>
    <n v="2"/>
  </r>
  <r>
    <s v="1117"/>
    <d v="2026-01-15T00:00:00"/>
    <d v="1899-12-30T02:36:00"/>
    <x v="2"/>
    <x v="2"/>
    <s v="Patient 1117"/>
    <n v="33"/>
    <s v="FEMALE"/>
    <s v="Medicare"/>
    <n v="33"/>
    <x v="25"/>
    <n v="4.4000000000000004"/>
    <s v="No"/>
    <n v="1065.71"/>
    <x v="0"/>
    <n v="2"/>
  </r>
  <r>
    <s v="1120"/>
    <d v="2026-01-15T00:00:00"/>
    <d v="1899-12-30T18:48:00"/>
    <x v="2"/>
    <x v="2"/>
    <s v="Patient 1120"/>
    <n v="55"/>
    <s v="MALE"/>
    <s v="Private"/>
    <n v="56"/>
    <x v="65"/>
    <n v="3.2"/>
    <s v="Yes"/>
    <n v="617.41999999999996"/>
    <x v="2"/>
    <n v="7"/>
  </r>
  <r>
    <s v="1128"/>
    <d v="2026-01-16T00:00:00"/>
    <d v="1899-12-30T16:51:00"/>
    <x v="0"/>
    <x v="0"/>
    <s v="Patient 1128"/>
    <n v="37"/>
    <s v="MALE"/>
    <s v="Medicaid"/>
    <n v="76"/>
    <x v="66"/>
    <n v="1.8"/>
    <s v="No"/>
    <n v="3994.75"/>
    <x v="2"/>
    <n v="6"/>
  </r>
  <r>
    <s v="1125"/>
    <d v="2026-01-16T00:00:00"/>
    <d v="1899-12-30T13:25:00"/>
    <x v="1"/>
    <x v="1"/>
    <s v="Patient 1125"/>
    <n v="29"/>
    <s v="FEMALE"/>
    <s v="Private"/>
    <n v="32"/>
    <x v="67"/>
    <n v="3.9"/>
    <s v="No"/>
    <n v="1702.4"/>
    <x v="1"/>
    <n v="4"/>
  </r>
  <r>
    <s v="1127"/>
    <d v="2026-01-16T00:00:00"/>
    <d v="1899-12-30T17:14:00"/>
    <x v="3"/>
    <x v="3"/>
    <s v="Patient 1127"/>
    <n v="55"/>
    <s v="FEMALE"/>
    <s v="Private"/>
    <n v="76"/>
    <x v="12"/>
    <n v="4.4000000000000004"/>
    <s v="Yes"/>
    <n v="2501.61"/>
    <x v="2"/>
    <n v="5"/>
  </r>
  <r>
    <s v="1126"/>
    <d v="2026-01-16T00:00:00"/>
    <d v="1899-12-30T11:27:00"/>
    <x v="4"/>
    <x v="4"/>
    <s v="Patient 1126"/>
    <n v="41"/>
    <s v="FEMALE"/>
    <s v="Medicaid"/>
    <n v="47"/>
    <x v="68"/>
    <n v="2.1"/>
    <s v="No"/>
    <n v="791.73"/>
    <x v="1"/>
    <n v="9"/>
  </r>
  <r>
    <s v="1129"/>
    <d v="2026-01-16T00:00:00"/>
    <d v="1899-12-30T15:59:00"/>
    <x v="4"/>
    <x v="4"/>
    <s v="Patient 1129"/>
    <n v="92"/>
    <s v="MALE"/>
    <s v="Uninsured"/>
    <n v="36"/>
    <x v="12"/>
    <n v="3.7"/>
    <s v="No"/>
    <n v="797.66"/>
    <x v="2"/>
    <n v="11"/>
  </r>
  <r>
    <s v="1138"/>
    <d v="2026-01-17T00:00:00"/>
    <d v="1899-12-30T07:57:00"/>
    <x v="4"/>
    <x v="4"/>
    <s v="Patient 1138"/>
    <n v="37"/>
    <s v="MALE"/>
    <s v="Medicare"/>
    <n v="75"/>
    <x v="12"/>
    <n v="3.7"/>
    <s v="No"/>
    <n v="706.43"/>
    <x v="1"/>
    <n v="4"/>
  </r>
  <r>
    <s v="1134"/>
    <d v="2026-01-17T00:00:00"/>
    <d v="1899-12-30T13:46:00"/>
    <x v="3"/>
    <x v="3"/>
    <s v="Patient 1134"/>
    <n v="79"/>
    <s v="FEMALE"/>
    <s v="Medicare"/>
    <n v="47"/>
    <x v="6"/>
    <n v="3.2"/>
    <s v="No"/>
    <n v="1719.4"/>
    <x v="1"/>
    <n v="6"/>
  </r>
  <r>
    <s v="1130"/>
    <d v="2026-01-17T00:00:00"/>
    <d v="1899-12-30T17:29:00"/>
    <x v="2"/>
    <x v="2"/>
    <s v="Patient 1130"/>
    <n v="80"/>
    <s v="FEMALE"/>
    <s v="Private"/>
    <n v="39"/>
    <x v="69"/>
    <n v="3.7"/>
    <s v="No"/>
    <n v="823.72"/>
    <x v="2"/>
    <n v="5"/>
  </r>
  <r>
    <s v="1137"/>
    <d v="2026-01-17T00:00:00"/>
    <d v="1899-12-30T08:12:00"/>
    <x v="3"/>
    <x v="3"/>
    <s v="Patient 1137"/>
    <n v="62"/>
    <s v="MALE"/>
    <s v="Private"/>
    <n v="70"/>
    <x v="42"/>
    <n v="3.6"/>
    <s v="No"/>
    <n v="822.45"/>
    <x v="1"/>
    <n v="6"/>
  </r>
  <r>
    <s v="1131"/>
    <d v="2026-01-17T00:00:00"/>
    <d v="1899-12-30T10:56:00"/>
    <x v="4"/>
    <x v="4"/>
    <s v="Patient 1131"/>
    <n v="73"/>
    <s v="MALE"/>
    <s v="Uninsured"/>
    <n v="87"/>
    <x v="70"/>
    <m/>
    <s v="Yes"/>
    <n v="779.3"/>
    <x v="1"/>
    <n v="4"/>
  </r>
  <r>
    <s v="1139"/>
    <d v="2026-01-17T00:00:00"/>
    <d v="1899-12-30T15:40:00"/>
    <x v="1"/>
    <x v="1"/>
    <s v="Patient 1139"/>
    <n v="38"/>
    <s v="MALE"/>
    <s v="Medicaid"/>
    <n v="46"/>
    <x v="70"/>
    <n v="3.6"/>
    <s v="No"/>
    <n v="2192.86"/>
    <x v="2"/>
    <n v="4"/>
  </r>
  <r>
    <s v="1132"/>
    <d v="2026-01-17T00:00:00"/>
    <d v="1899-12-30T21:26:00"/>
    <x v="1"/>
    <x v="1"/>
    <s v="Patient 1132"/>
    <n v="47"/>
    <s v="FEMALE"/>
    <s v="Medicare"/>
    <n v="67"/>
    <x v="40"/>
    <n v="2.9"/>
    <s v="No"/>
    <n v="1567.77"/>
    <x v="2"/>
    <n v="4"/>
  </r>
  <r>
    <s v="1136"/>
    <d v="2026-01-17T00:00:00"/>
    <d v="1899-12-30T18:34:00"/>
    <x v="4"/>
    <x v="4"/>
    <s v="Patient 1136"/>
    <n v="66"/>
    <s v="MALE"/>
    <s v="Private"/>
    <n v="56"/>
    <x v="31"/>
    <n v="3"/>
    <s v="No"/>
    <n v="977.92"/>
    <x v="2"/>
    <n v="8"/>
  </r>
  <r>
    <s v="1135"/>
    <d v="2026-01-17T00:00:00"/>
    <d v="1899-12-30T10:52:00"/>
    <x v="1"/>
    <x v="1"/>
    <s v="Patient 1135"/>
    <n v="6"/>
    <s v="FEMALE"/>
    <s v="Private"/>
    <n v="37"/>
    <x v="52"/>
    <n v="2.8"/>
    <s v="No"/>
    <m/>
    <x v="1"/>
    <n v="4"/>
  </r>
  <r>
    <s v="1133"/>
    <d v="2026-01-17T00:00:00"/>
    <d v="1899-12-30T12:06:00"/>
    <x v="0"/>
    <x v="0"/>
    <s v="Patient 1133"/>
    <n v="41"/>
    <s v="FEMALE"/>
    <s v="Medicare"/>
    <n v="89"/>
    <x v="62"/>
    <n v="2.9"/>
    <m/>
    <n v="4118.7700000000004"/>
    <x v="1"/>
    <n v="6"/>
  </r>
  <r>
    <s v="1140"/>
    <d v="2026-01-18T00:00:00"/>
    <d v="1899-12-30T10:41:00"/>
    <x v="3"/>
    <x v="3"/>
    <s v="Patient 1140"/>
    <n v="33"/>
    <s v="MALE"/>
    <s v="Private"/>
    <n v="56"/>
    <x v="21"/>
    <n v="4"/>
    <s v="No"/>
    <n v="2027.53"/>
    <x v="1"/>
    <n v="6"/>
  </r>
  <r>
    <s v="1142"/>
    <d v="2026-01-18T00:00:00"/>
    <d v="1899-12-30T15:02:00"/>
    <x v="1"/>
    <x v="1"/>
    <s v="Patient 1142"/>
    <n v="28"/>
    <s v="FEMALE"/>
    <s v="Uninsured"/>
    <n v="44"/>
    <x v="20"/>
    <n v="4.0999999999999996"/>
    <s v="Yes"/>
    <n v="2304.08"/>
    <x v="2"/>
    <n v="2"/>
  </r>
  <r>
    <s v="1146"/>
    <d v="2026-01-18T00:00:00"/>
    <d v="1899-12-30T11:30:00"/>
    <x v="2"/>
    <x v="2"/>
    <s v="Patient 1146"/>
    <n v="32"/>
    <s v="MALE"/>
    <s v="Medicare"/>
    <n v="29"/>
    <x v="69"/>
    <n v="3.7"/>
    <s v="No"/>
    <n v="569.02"/>
    <x v="1"/>
    <n v="4"/>
  </r>
  <r>
    <s v="1145"/>
    <d v="2026-01-18T00:00:00"/>
    <d v="1899-12-30T17:05:00"/>
    <x v="4"/>
    <x v="4"/>
    <s v="Patient 1145"/>
    <n v="76"/>
    <s v="FEMALE"/>
    <s v="Medicare"/>
    <n v="83"/>
    <x v="21"/>
    <n v="2.8"/>
    <s v="No"/>
    <n v="892.35"/>
    <x v="2"/>
    <n v="8"/>
  </r>
  <r>
    <s v="1141"/>
    <d v="2026-01-18T00:00:00"/>
    <d v="1899-12-30T18:20:00"/>
    <x v="1"/>
    <x v="1"/>
    <s v="Patient 1141"/>
    <n v="14"/>
    <s v="MALE"/>
    <s v="Medicare"/>
    <n v="43"/>
    <x v="26"/>
    <n v="3.9"/>
    <s v="No"/>
    <n v="2289.35"/>
    <x v="2"/>
    <n v="2"/>
  </r>
  <r>
    <s v="1143"/>
    <d v="2026-01-18T00:00:00"/>
    <d v="1899-12-30T17:43:00"/>
    <x v="1"/>
    <x v="1"/>
    <s v="Patient 1143"/>
    <n v="1"/>
    <s v="MALE"/>
    <s v="Medicare"/>
    <n v="38"/>
    <x v="71"/>
    <m/>
    <s v="Yes"/>
    <n v="2034.2"/>
    <x v="2"/>
    <n v="2"/>
  </r>
  <r>
    <s v="1147"/>
    <d v="2026-01-18T00:00:00"/>
    <d v="1899-12-30T07:54:00"/>
    <x v="4"/>
    <x v="4"/>
    <s v="Patient 1147"/>
    <n v="33"/>
    <s v="FEMALE"/>
    <s v="Private"/>
    <n v="55"/>
    <x v="9"/>
    <n v="3.3"/>
    <s v="No"/>
    <n v="1183.2"/>
    <x v="1"/>
    <n v="7"/>
  </r>
  <r>
    <s v="1144"/>
    <d v="2026-01-18T00:00:00"/>
    <d v="1899-12-30T11:55:00"/>
    <x v="4"/>
    <x v="4"/>
    <s v="Patient 1144"/>
    <n v="52"/>
    <s v="MALE"/>
    <s v="Private"/>
    <n v="34"/>
    <x v="12"/>
    <n v="2.6"/>
    <s v="No"/>
    <n v="1070.32"/>
    <x v="1"/>
    <n v="7"/>
  </r>
  <r>
    <s v="1151"/>
    <d v="2026-01-19T00:00:00"/>
    <d v="1899-12-30T19:49:00"/>
    <x v="3"/>
    <x v="3"/>
    <s v="Patient 1151"/>
    <n v="74"/>
    <s v="MALE"/>
    <s v="Private"/>
    <n v="59"/>
    <x v="27"/>
    <n v="2.9"/>
    <s v="No"/>
    <n v="1456.7"/>
    <x v="2"/>
    <n v="7"/>
  </r>
  <r>
    <s v="1153"/>
    <d v="2026-01-19T00:00:00"/>
    <d v="1899-12-30T19:49:00"/>
    <x v="3"/>
    <x v="3"/>
    <s v="Patient 1153"/>
    <n v="11"/>
    <s v="FEMALE"/>
    <s v="Private"/>
    <n v="68"/>
    <x v="27"/>
    <n v="4.7"/>
    <s v="No"/>
    <n v="1602.38"/>
    <x v="2"/>
    <n v="7"/>
  </r>
  <r>
    <s v="1158"/>
    <d v="2026-01-19T00:00:00"/>
    <d v="1899-12-30T18:01:00"/>
    <x v="3"/>
    <x v="3"/>
    <s v="Patient 1158"/>
    <n v="47"/>
    <s v="MALE"/>
    <s v="Medicare"/>
    <n v="67"/>
    <x v="46"/>
    <n v="2.5"/>
    <s v="No"/>
    <n v="946.91"/>
    <x v="2"/>
    <n v="7"/>
  </r>
  <r>
    <s v="1150"/>
    <d v="2026-01-19T00:00:00"/>
    <d v="1899-12-30T04:10:00"/>
    <x v="0"/>
    <x v="0"/>
    <s v="Patient 1150"/>
    <n v="34"/>
    <s v="MALE"/>
    <s v="Uninsured"/>
    <n v="50"/>
    <x v="72"/>
    <n v="4.0999999999999996"/>
    <s v="No"/>
    <n v="3368.48"/>
    <x v="0"/>
    <n v="4"/>
  </r>
  <r>
    <s v="1156"/>
    <d v="2026-01-19T00:00:00"/>
    <d v="1899-12-30T06:17:00"/>
    <x v="4"/>
    <x v="4"/>
    <s v="Patient 1156"/>
    <n v="150"/>
    <s v="FEMALE"/>
    <s v="Private"/>
    <n v="40"/>
    <x v="73"/>
    <n v="4.0999999999999996"/>
    <s v="No"/>
    <n v="972.68"/>
    <x v="0"/>
    <n v="8"/>
  </r>
  <r>
    <s v="1152"/>
    <d v="2026-01-19T00:00:00"/>
    <d v="1899-12-30T17:25:00"/>
    <x v="2"/>
    <x v="2"/>
    <s v="Patient 1152"/>
    <n v="39"/>
    <s v="MALE"/>
    <s v="Uninsured"/>
    <n v="72"/>
    <x v="43"/>
    <n v="2"/>
    <s v="No"/>
    <n v="885.64"/>
    <x v="2"/>
    <n v="3"/>
  </r>
  <r>
    <s v="1149"/>
    <d v="2026-01-19T00:00:00"/>
    <d v="1899-12-30T12:26:00"/>
    <x v="1"/>
    <x v="1"/>
    <s v="Patient 1149"/>
    <n v="57"/>
    <s v="FEMALE"/>
    <s v="Medicare"/>
    <n v="31"/>
    <x v="18"/>
    <n v="3.4"/>
    <s v="No"/>
    <n v="1603.42"/>
    <x v="1"/>
    <n v="7"/>
  </r>
  <r>
    <s v="1155"/>
    <d v="2026-01-19T00:00:00"/>
    <d v="1899-12-30T10:40:00"/>
    <x v="1"/>
    <x v="1"/>
    <s v="Patient 1155"/>
    <n v="41"/>
    <s v="MALE"/>
    <s v="Private"/>
    <n v="27"/>
    <x v="9"/>
    <n v="3.5"/>
    <s v="No"/>
    <n v="1055.56"/>
    <x v="1"/>
    <n v="7"/>
  </r>
  <r>
    <s v="1157"/>
    <d v="2026-01-19T00:00:00"/>
    <d v="1899-12-30T11:47:00"/>
    <x v="4"/>
    <x v="4"/>
    <s v="Patient 1157"/>
    <n v="1"/>
    <s v="FEMALE"/>
    <s v="Medicare"/>
    <n v="53"/>
    <x v="28"/>
    <n v="3.5"/>
    <s v="No"/>
    <n v="1326.43"/>
    <x v="1"/>
    <n v="6"/>
  </r>
  <r>
    <s v="1148"/>
    <d v="2026-01-19T00:00:00"/>
    <d v="1899-12-30T15:23:00"/>
    <x v="0"/>
    <x v="0"/>
    <s v="Patient 1148"/>
    <n v="48"/>
    <s v="MALE"/>
    <s v="Private"/>
    <n v="53"/>
    <x v="74"/>
    <n v="3.2"/>
    <s v="No"/>
    <n v="4630.91"/>
    <x v="2"/>
    <n v="5"/>
  </r>
  <r>
    <s v="1154"/>
    <d v="2026-01-19T00:00:00"/>
    <d v="1899-12-30T12:26:00"/>
    <x v="4"/>
    <x v="4"/>
    <s v="Patient 1154"/>
    <n v="56"/>
    <s v="MALE"/>
    <s v="Medicare"/>
    <n v="41"/>
    <x v="40"/>
    <n v="3.4"/>
    <s v="No"/>
    <n v="544.92999999999995"/>
    <x v="1"/>
    <n v="6"/>
  </r>
  <r>
    <s v="1159"/>
    <d v="2026-01-20T00:00:00"/>
    <d v="1899-12-30T12:35:00"/>
    <x v="4"/>
    <x v="4"/>
    <s v="Patient 1159"/>
    <n v="38"/>
    <s v="MALE"/>
    <s v="Medicare"/>
    <n v="53"/>
    <x v="50"/>
    <n v="3.7"/>
    <s v="No"/>
    <n v="1646.93"/>
    <x v="1"/>
    <n v="6"/>
  </r>
  <r>
    <s v="1164"/>
    <d v="2026-01-20T00:00:00"/>
    <d v="1899-12-30T15:26:00"/>
    <x v="3"/>
    <x v="3"/>
    <s v="Patient 1164"/>
    <n v="32"/>
    <s v="MALE"/>
    <s v="Private"/>
    <n v="36"/>
    <x v="26"/>
    <n v="4"/>
    <s v="No"/>
    <n v="1655.64"/>
    <x v="2"/>
    <n v="7"/>
  </r>
  <r>
    <s v="1168"/>
    <d v="2026-01-20T00:00:00"/>
    <d v="1899-12-30T01:16:00"/>
    <x v="2"/>
    <x v="2"/>
    <s v="Patient 1168"/>
    <n v="22"/>
    <s v="FEMALE"/>
    <s v="Medicare"/>
    <n v="11"/>
    <x v="53"/>
    <n v="3.7"/>
    <s v="No"/>
    <n v="858.69"/>
    <x v="0"/>
    <n v="4"/>
  </r>
  <r>
    <s v="1169"/>
    <d v="2026-01-20T00:00:00"/>
    <d v="1899-12-30T09:28:00"/>
    <x v="4"/>
    <x v="4"/>
    <s v="Patient 1169"/>
    <n v="83"/>
    <s v="MALE"/>
    <s v="Medicaid"/>
    <n v="67"/>
    <x v="16"/>
    <m/>
    <s v="No"/>
    <n v="892.6"/>
    <x v="1"/>
    <n v="6"/>
  </r>
  <r>
    <s v="1161"/>
    <d v="2026-01-20T00:00:00"/>
    <d v="1899-12-30T08:04:00"/>
    <x v="4"/>
    <x v="4"/>
    <s v="Patient 1161"/>
    <n v="87"/>
    <s v="MALE"/>
    <s v="Uninsured"/>
    <n v="45"/>
    <x v="32"/>
    <n v="3.9"/>
    <s v="No"/>
    <n v="1061.6099999999999"/>
    <x v="1"/>
    <n v="6"/>
  </r>
  <r>
    <s v="1165"/>
    <d v="2026-01-20T00:00:00"/>
    <d v="1899-12-30T10:29:00"/>
    <x v="0"/>
    <x v="0"/>
    <s v="Patient 1165"/>
    <n v="36"/>
    <s v="FEMALE"/>
    <s v="Uninsured"/>
    <n v="47"/>
    <x v="1"/>
    <n v="2.7"/>
    <s v="No"/>
    <n v="3918.75"/>
    <x v="1"/>
    <n v="8"/>
  </r>
  <r>
    <s v="1162"/>
    <d v="2026-01-20T00:00:00"/>
    <d v="1899-12-30T15:30:00"/>
    <x v="4"/>
    <x v="4"/>
    <s v="Patient 1162"/>
    <n v="2"/>
    <s v="FEMALE"/>
    <s v="Medicaid"/>
    <n v="29"/>
    <x v="53"/>
    <n v="3"/>
    <s v="No"/>
    <n v="785.57"/>
    <x v="2"/>
    <n v="8"/>
  </r>
  <r>
    <s v="1166"/>
    <d v="2026-01-20T00:00:00"/>
    <d v="1899-12-30T18:07:00"/>
    <x v="4"/>
    <x v="4"/>
    <s v="Patient 1166"/>
    <n v="18"/>
    <s v="FEMALE"/>
    <s v="Medicaid"/>
    <n v="55"/>
    <x v="75"/>
    <n v="3.9"/>
    <s v="No"/>
    <n v="822.28"/>
    <x v="2"/>
    <n v="8"/>
  </r>
  <r>
    <s v="1160"/>
    <d v="2026-01-20T00:00:00"/>
    <d v="1899-12-30T08:19:00"/>
    <x v="4"/>
    <x v="4"/>
    <s v="Patient 1160"/>
    <n v="1"/>
    <s v="FEMALE"/>
    <s v="Medicare"/>
    <n v="46"/>
    <x v="40"/>
    <n v="3.2"/>
    <s v="Yes"/>
    <n v="686.96"/>
    <x v="1"/>
    <n v="6"/>
  </r>
  <r>
    <s v="1166"/>
    <d v="2026-01-20T00:00:00"/>
    <d v="1899-12-30T18:07:00"/>
    <x v="4"/>
    <x v="4"/>
    <s v="Patient 1166"/>
    <n v="18"/>
    <s v="FEMALE"/>
    <s v="Medicaid"/>
    <n v="55"/>
    <x v="75"/>
    <n v="3.9"/>
    <s v="No"/>
    <n v="822.28"/>
    <x v="2"/>
    <n v="8"/>
  </r>
  <r>
    <s v="1167"/>
    <d v="2026-01-20T00:00:00"/>
    <d v="1899-12-30T13:07:00"/>
    <x v="3"/>
    <x v="3"/>
    <s v="Patient 1167"/>
    <n v="46"/>
    <s v="MALE"/>
    <s v="Medicare"/>
    <n v="64"/>
    <x v="52"/>
    <n v="2.8"/>
    <s v="No"/>
    <n v="2158.9699999999998"/>
    <x v="1"/>
    <n v="5"/>
  </r>
  <r>
    <s v="1163"/>
    <d v="2026-01-20T00:00:00"/>
    <d v="1899-12-30T13:23:00"/>
    <x v="4"/>
    <x v="4"/>
    <s v="Patient 1163"/>
    <n v="41"/>
    <s v="MALE"/>
    <s v="Private"/>
    <n v="31"/>
    <x v="11"/>
    <n v="4.7"/>
    <s v="No"/>
    <n v="937.16"/>
    <x v="1"/>
    <n v="6"/>
  </r>
  <r>
    <s v="1176"/>
    <d v="2026-01-21T00:00:00"/>
    <d v="1899-12-30T21:37:00"/>
    <x v="3"/>
    <x v="3"/>
    <s v="Patient 1176"/>
    <n v="72"/>
    <s v="FEMALE"/>
    <s v="Private"/>
    <n v="59"/>
    <x v="24"/>
    <n v="4.3"/>
    <s v="No"/>
    <n v="1394.38"/>
    <x v="2"/>
    <n v="7"/>
  </r>
  <r>
    <s v="1174"/>
    <d v="2026-01-21T00:00:00"/>
    <d v="1899-12-30T12:54:00"/>
    <x v="0"/>
    <x v="0"/>
    <s v="Patient 1174"/>
    <n v="83"/>
    <s v="MALE"/>
    <s v="Medicare"/>
    <n v="40"/>
    <x v="0"/>
    <n v="4.2"/>
    <m/>
    <n v="3469.01"/>
    <x v="1"/>
    <n v="11"/>
  </r>
  <r>
    <s v="1173"/>
    <d v="2026-01-21T00:00:00"/>
    <d v="1899-12-30T23:02:00"/>
    <x v="4"/>
    <x v="4"/>
    <s v="Patient 1173"/>
    <n v="65"/>
    <s v="MALE"/>
    <s v="Medicare"/>
    <n v="44"/>
    <x v="76"/>
    <n v="2.8"/>
    <s v="No"/>
    <n v="775.38"/>
    <x v="2"/>
    <n v="12"/>
  </r>
  <r>
    <s v="1175"/>
    <d v="2026-01-21T00:00:00"/>
    <d v="1899-12-30T20:42:00"/>
    <x v="4"/>
    <x v="4"/>
    <s v="Patient 1175"/>
    <n v="71"/>
    <s v="FEMALE"/>
    <s v="Private"/>
    <n v="15"/>
    <x v="19"/>
    <n v="4.7"/>
    <s v="No"/>
    <n v="1059.76"/>
    <x v="2"/>
    <n v="12"/>
  </r>
  <r>
    <s v="1170"/>
    <d v="2026-01-21T00:00:00"/>
    <d v="1899-12-30T14:44:00"/>
    <x v="0"/>
    <x v="0"/>
    <s v="Patient 1170"/>
    <n v="31"/>
    <s v="MALE"/>
    <s v="Medicaid"/>
    <n v="68"/>
    <x v="77"/>
    <n v="3.7"/>
    <s v="No"/>
    <n v="3967.23"/>
    <x v="1"/>
    <n v="11"/>
  </r>
  <r>
    <s v="1171"/>
    <d v="2026-01-21T00:00:00"/>
    <d v="1899-12-30T10:39:00"/>
    <x v="4"/>
    <x v="4"/>
    <s v="Patient 1171"/>
    <n v="25"/>
    <s v="FEMALE"/>
    <s v="Uninsured"/>
    <n v="55"/>
    <x v="78"/>
    <n v="3.4"/>
    <s v="No"/>
    <n v="944.43"/>
    <x v="1"/>
    <n v="9"/>
  </r>
  <r>
    <s v="1172"/>
    <d v="2026-01-21T00:00:00"/>
    <d v="1899-12-30T00:37:00"/>
    <x v="4"/>
    <x v="4"/>
    <s v="Patient 1172"/>
    <n v="84"/>
    <s v="MALE"/>
    <s v="Medicaid"/>
    <n v="61"/>
    <x v="45"/>
    <n v="3.6"/>
    <s v="No"/>
    <n v="844.47"/>
    <x v="0"/>
    <n v="7"/>
  </r>
  <r>
    <s v="1183"/>
    <d v="2026-01-22T00:00:00"/>
    <d v="1899-12-30T14:40:00"/>
    <x v="0"/>
    <x v="0"/>
    <s v="Patient 1183"/>
    <n v="24"/>
    <s v="FEMALE"/>
    <s v="Medicaid"/>
    <n v="52"/>
    <x v="1"/>
    <n v="3.8"/>
    <s v="Yes"/>
    <n v="3124.41"/>
    <x v="1"/>
    <n v="11"/>
  </r>
  <r>
    <s v="1181"/>
    <d v="2026-01-22T00:00:00"/>
    <d v="1899-12-30T16:35:00"/>
    <x v="4"/>
    <x v="4"/>
    <s v="Patient 1181"/>
    <n v="43"/>
    <s v="FEMALE"/>
    <s v="Medicaid"/>
    <n v="86"/>
    <x v="79"/>
    <n v="3.6"/>
    <s v="No"/>
    <n v="758.99"/>
    <x v="2"/>
    <n v="11"/>
  </r>
  <r>
    <s v="1182"/>
    <d v="2026-01-22T00:00:00"/>
    <d v="1899-12-30T18:05:00"/>
    <x v="0"/>
    <x v="0"/>
    <s v="Patient 1182"/>
    <n v="41"/>
    <s v="FEMALE"/>
    <s v="Uninsured"/>
    <n v="90"/>
    <x v="80"/>
    <n v="3.2"/>
    <s v="No"/>
    <n v="4531.47"/>
    <x v="2"/>
    <n v="4"/>
  </r>
  <r>
    <s v="1180"/>
    <d v="2026-01-22T00:00:00"/>
    <d v="1899-12-30T09:33:00"/>
    <x v="1"/>
    <x v="1"/>
    <s v="Patient 1180"/>
    <n v="74"/>
    <s v="MALE"/>
    <s v="Medicare"/>
    <n v="26"/>
    <x v="20"/>
    <n v="3.4"/>
    <m/>
    <n v="983.45"/>
    <x v="1"/>
    <n v="4"/>
  </r>
  <r>
    <s v="1178"/>
    <d v="2026-01-22T00:00:00"/>
    <d v="1899-12-30T17:00:00"/>
    <x v="4"/>
    <x v="4"/>
    <s v="Patient 1178"/>
    <n v="54"/>
    <s v="MALE"/>
    <s v="Medicaid"/>
    <n v="61"/>
    <x v="53"/>
    <n v="3.3"/>
    <s v="Yes"/>
    <n v="895.07"/>
    <x v="2"/>
    <n v="11"/>
  </r>
  <r>
    <s v="1177"/>
    <d v="2026-01-22T00:00:00"/>
    <d v="1899-12-30T10:01:00"/>
    <x v="0"/>
    <x v="0"/>
    <s v="Patient 1177"/>
    <n v="67"/>
    <s v="FEMALE"/>
    <s v="Medicaid"/>
    <n v="43"/>
    <x v="8"/>
    <n v="4.0999999999999996"/>
    <s v="No"/>
    <n v="3682.43"/>
    <x v="1"/>
    <n v="11"/>
  </r>
  <r>
    <s v="1179"/>
    <d v="2026-01-22T00:00:00"/>
    <d v="1899-12-30T16:49:00"/>
    <x v="1"/>
    <x v="1"/>
    <s v="Patient 1179"/>
    <n v="65"/>
    <s v="MALE"/>
    <s v="Medicare"/>
    <n v="75"/>
    <x v="12"/>
    <n v="4"/>
    <s v="Yes"/>
    <n v="1532.46"/>
    <x v="2"/>
    <n v="7"/>
  </r>
  <r>
    <s v="1184"/>
    <d v="2026-01-23T00:00:00"/>
    <d v="1899-12-30T12:58:00"/>
    <x v="3"/>
    <x v="3"/>
    <s v="Patient 1184"/>
    <n v="41"/>
    <s v="MALE"/>
    <s v="Uninsured"/>
    <n v="42"/>
    <x v="81"/>
    <n v="3.7"/>
    <s v="No"/>
    <n v="1792.5"/>
    <x v="1"/>
    <n v="4"/>
  </r>
  <r>
    <s v="1191"/>
    <d v="2026-01-23T00:00:00"/>
    <d v="1899-12-30T18:56:00"/>
    <x v="2"/>
    <x v="2"/>
    <s v="Patient 1191"/>
    <n v="29"/>
    <s v="FEMALE"/>
    <s v="Uninsured"/>
    <n v="49"/>
    <x v="65"/>
    <n v="3.1"/>
    <s v="No"/>
    <n v="968.51"/>
    <x v="2"/>
    <n v="7"/>
  </r>
  <r>
    <s v="1186"/>
    <d v="2026-01-23T00:00:00"/>
    <d v="1899-12-30T09:56:00"/>
    <x v="3"/>
    <x v="3"/>
    <s v="Patient 1186"/>
    <n v="32"/>
    <s v="MALE"/>
    <s v="Medicaid"/>
    <n v="52"/>
    <x v="28"/>
    <n v="3.2"/>
    <s v="No"/>
    <n v="1581.96"/>
    <x v="1"/>
    <n v="4"/>
  </r>
  <r>
    <s v="1189"/>
    <d v="2026-01-23T00:00:00"/>
    <d v="1899-12-30T14:53:00"/>
    <x v="4"/>
    <x v="4"/>
    <s v="Patient 1189"/>
    <n v="40"/>
    <s v="MALE"/>
    <s v="Private"/>
    <n v="37"/>
    <x v="13"/>
    <n v="4.5"/>
    <s v="No"/>
    <n v="863.42"/>
    <x v="1"/>
    <n v="7"/>
  </r>
  <r>
    <s v="1190"/>
    <d v="2026-01-23T00:00:00"/>
    <d v="1899-12-30T14:26:00"/>
    <x v="4"/>
    <x v="4"/>
    <s v="Patient 1190"/>
    <n v="53"/>
    <s v="MALE"/>
    <s v="Medicare"/>
    <n v="43"/>
    <x v="21"/>
    <n v="3.2"/>
    <s v="No"/>
    <n v="899.59"/>
    <x v="1"/>
    <n v="7"/>
  </r>
  <r>
    <s v="1187"/>
    <d v="2026-01-23T00:00:00"/>
    <d v="1899-12-30T18:29:00"/>
    <x v="4"/>
    <x v="4"/>
    <s v="Patient 1187"/>
    <n v="57"/>
    <s v="MALE"/>
    <s v="Private"/>
    <n v="72"/>
    <x v="75"/>
    <n v="4.4000000000000004"/>
    <s v="No"/>
    <n v="904.53"/>
    <x v="2"/>
    <n v="8"/>
  </r>
  <r>
    <s v="1188"/>
    <d v="2026-01-23T00:00:00"/>
    <d v="1899-12-30T10:27:00"/>
    <x v="2"/>
    <x v="2"/>
    <s v="Patient 1188"/>
    <n v="44"/>
    <s v="MALE"/>
    <s v="Private"/>
    <n v="60"/>
    <x v="46"/>
    <n v="3.7"/>
    <s v="No"/>
    <n v="733.39"/>
    <x v="1"/>
    <n v="6"/>
  </r>
  <r>
    <s v="1185"/>
    <d v="2026-01-23T00:00:00"/>
    <d v="1899-12-30T08:55:00"/>
    <x v="2"/>
    <x v="2"/>
    <s v="Patient 1185"/>
    <n v="23"/>
    <s v="MALE"/>
    <s v="Medicaid"/>
    <n v="76"/>
    <x v="25"/>
    <n v="3.5"/>
    <s v="Yes"/>
    <n v="792.08"/>
    <x v="1"/>
    <n v="6"/>
  </r>
  <r>
    <s v="1191"/>
    <d v="2026-01-23T00:00:00"/>
    <d v="1899-12-30T18:56:00"/>
    <x v="2"/>
    <x v="2"/>
    <s v="Patient 1191"/>
    <n v="29"/>
    <s v="FEMALE"/>
    <s v="Uninsured"/>
    <n v="49"/>
    <x v="65"/>
    <n v="3.1"/>
    <s v="No"/>
    <n v="968.51"/>
    <x v="2"/>
    <n v="7"/>
  </r>
  <r>
    <s v="1196"/>
    <d v="2026-01-24T00:00:00"/>
    <d v="1899-12-30T12:28:00"/>
    <x v="1"/>
    <x v="1"/>
    <s v="Patient 1196"/>
    <n v="59"/>
    <s v="MALE"/>
    <s v="Medicaid"/>
    <n v="17"/>
    <x v="76"/>
    <n v="4.0999999999999996"/>
    <s v="No"/>
    <n v="1543.95"/>
    <x v="1"/>
    <n v="6"/>
  </r>
  <r>
    <s v="1199"/>
    <d v="2026-01-24T00:00:00"/>
    <d v="1899-12-30T17:23:00"/>
    <x v="4"/>
    <x v="4"/>
    <s v="Patient 1199"/>
    <n v="23"/>
    <s v="FEMALE"/>
    <s v="Medicaid"/>
    <n v="91"/>
    <x v="31"/>
    <n v="3.1"/>
    <s v="No"/>
    <n v="604.29"/>
    <x v="2"/>
    <n v="11"/>
  </r>
  <r>
    <s v="1195"/>
    <d v="2026-01-24T00:00:00"/>
    <d v="1899-12-30T20:20:00"/>
    <x v="3"/>
    <x v="3"/>
    <s v="Patient 1195"/>
    <n v="55"/>
    <s v="FEMALE"/>
    <s v="Medicaid"/>
    <n v="72"/>
    <x v="57"/>
    <n v="2.7"/>
    <s v="No"/>
    <n v="1247.1600000000001"/>
    <x v="2"/>
    <n v="4"/>
  </r>
  <r>
    <s v="1198"/>
    <d v="2026-01-24T00:00:00"/>
    <d v="1899-12-30T11:49:00"/>
    <x v="1"/>
    <x v="1"/>
    <s v="Patient 1198"/>
    <n v="68"/>
    <s v="FEMALE"/>
    <s v="Medicaid"/>
    <n v="40"/>
    <x v="82"/>
    <n v="4.7"/>
    <s v="No"/>
    <n v="1995.19"/>
    <x v="1"/>
    <n v="6"/>
  </r>
  <r>
    <s v="1200"/>
    <d v="2026-01-24T00:00:00"/>
    <d v="1899-12-30T21:44:00"/>
    <x v="2"/>
    <x v="2"/>
    <s v="Patient 1200"/>
    <n v="40"/>
    <s v="MALE"/>
    <s v="Uninsured"/>
    <n v="21"/>
    <x v="4"/>
    <n v="3.3"/>
    <s v="No"/>
    <n v="775.09"/>
    <x v="2"/>
    <n v="5"/>
  </r>
  <r>
    <s v="1196"/>
    <d v="2026-01-24T00:00:00"/>
    <d v="1899-12-30T12:28:00"/>
    <x v="1"/>
    <x v="1"/>
    <s v="Patient 1196"/>
    <n v="59"/>
    <s v="MALE"/>
    <s v="Medicaid"/>
    <n v="17"/>
    <x v="76"/>
    <n v="4.0999999999999996"/>
    <s v="No"/>
    <n v="1543.95"/>
    <x v="1"/>
    <n v="6"/>
  </r>
  <r>
    <s v="1194"/>
    <d v="2026-01-24T00:00:00"/>
    <d v="1899-12-30T17:33:00"/>
    <x v="3"/>
    <x v="3"/>
    <s v="Patient 1194"/>
    <n v="37"/>
    <s v="FEMALE"/>
    <s v="Medicaid"/>
    <n v="93"/>
    <x v="50"/>
    <n v="2.9"/>
    <s v="No"/>
    <n v="1143.55"/>
    <x v="2"/>
    <n v="4"/>
  </r>
  <r>
    <s v="1193"/>
    <d v="2026-01-24T00:00:00"/>
    <d v="1899-12-30T16:47:00"/>
    <x v="3"/>
    <x v="3"/>
    <s v="Patient 1193"/>
    <n v="15"/>
    <s v="FEMALE"/>
    <s v="Medicaid"/>
    <n v="86"/>
    <x v="35"/>
    <n v="3.7"/>
    <s v="No"/>
    <n v="1566.78"/>
    <x v="2"/>
    <n v="4"/>
  </r>
  <r>
    <s v="1192"/>
    <d v="2026-01-24T00:00:00"/>
    <d v="1899-12-30T03:45:00"/>
    <x v="2"/>
    <x v="2"/>
    <s v="Patient 1192"/>
    <n v="42"/>
    <s v="MALE"/>
    <s v="Medicaid"/>
    <n v="16"/>
    <x v="81"/>
    <n v="3.2"/>
    <s v="No"/>
    <n v="791.97"/>
    <x v="0"/>
    <n v="1"/>
  </r>
  <r>
    <s v="1197"/>
    <d v="2026-01-24T00:00:00"/>
    <d v="1899-12-30T00:16:00"/>
    <x v="4"/>
    <x v="4"/>
    <s v="Patient 1197"/>
    <n v="5"/>
    <s v="MALE"/>
    <s v="Medicare"/>
    <n v="52"/>
    <x v="16"/>
    <n v="4.2"/>
    <s v="No"/>
    <n v="827.95"/>
    <x v="0"/>
    <n v="7"/>
  </r>
  <r>
    <s v="1210"/>
    <d v="2026-01-25T00:00:00"/>
    <d v="1899-12-30T14:55:00"/>
    <x v="4"/>
    <x v="4"/>
    <s v="Patient 1210"/>
    <n v="43"/>
    <s v="MALE"/>
    <s v="Medicare"/>
    <n v="50"/>
    <x v="53"/>
    <n v="3.9"/>
    <s v="No"/>
    <n v="980.03"/>
    <x v="1"/>
    <n v="6"/>
  </r>
  <r>
    <s v="1213"/>
    <d v="2026-01-25T00:00:00"/>
    <d v="1899-12-30T10:06:00"/>
    <x v="4"/>
    <x v="4"/>
    <s v="Patient 1213"/>
    <n v="150"/>
    <s v="MALE"/>
    <s v="Medicare"/>
    <n v="50"/>
    <x v="83"/>
    <n v="3.6"/>
    <s v="No"/>
    <n v="985.33"/>
    <x v="1"/>
    <n v="6"/>
  </r>
  <r>
    <s v="1201"/>
    <d v="2026-01-25T00:00:00"/>
    <d v="1899-12-30T13:05:00"/>
    <x v="4"/>
    <x v="4"/>
    <s v="Patient 1201"/>
    <n v="77"/>
    <s v="FEMALE"/>
    <s v="Medicaid"/>
    <n v="61"/>
    <x v="31"/>
    <n v="3.3"/>
    <s v="No"/>
    <n v="900.11"/>
    <x v="1"/>
    <n v="6"/>
  </r>
  <r>
    <s v="1209"/>
    <d v="2026-01-25T00:00:00"/>
    <d v="1899-12-30T11:25:00"/>
    <x v="4"/>
    <x v="4"/>
    <s v="Patient 1209"/>
    <n v="39"/>
    <s v="FEMALE"/>
    <s v="Uninsured"/>
    <n v="46"/>
    <x v="78"/>
    <n v="4.3"/>
    <s v="No"/>
    <n v="768.26"/>
    <x v="1"/>
    <n v="6"/>
  </r>
  <r>
    <s v="1206"/>
    <d v="2026-01-25T00:00:00"/>
    <d v="1899-12-30T18:10:00"/>
    <x v="0"/>
    <x v="0"/>
    <s v="Patient 1206"/>
    <n v="36"/>
    <s v="FEMALE"/>
    <s v="Private"/>
    <n v="91"/>
    <x v="24"/>
    <n v="3.2"/>
    <s v="No"/>
    <n v="2262.9499999999998"/>
    <x v="2"/>
    <n v="6"/>
  </r>
  <r>
    <s v="1205"/>
    <d v="2026-01-25T00:00:00"/>
    <d v="1899-12-30T09:37:00"/>
    <x v="0"/>
    <x v="0"/>
    <s v="Patient 1205"/>
    <n v="60"/>
    <s v="FEMALE"/>
    <s v="Medicare"/>
    <n v="71"/>
    <x v="84"/>
    <n v="2.8"/>
    <s v="No"/>
    <n v="3459.16"/>
    <x v="1"/>
    <n v="7"/>
  </r>
  <r>
    <s v="1203"/>
    <d v="2026-01-25T00:00:00"/>
    <d v="1899-12-30T12:56:00"/>
    <x v="4"/>
    <x v="4"/>
    <s v="Patient 1203"/>
    <n v="63"/>
    <s v="MALE"/>
    <s v="Private"/>
    <n v="63"/>
    <x v="68"/>
    <n v="3.8"/>
    <s v="No"/>
    <n v="674.32"/>
    <x v="1"/>
    <n v="6"/>
  </r>
  <r>
    <s v="1208"/>
    <d v="2026-01-25T00:00:00"/>
    <d v="1899-12-30T11:16:00"/>
    <x v="3"/>
    <x v="3"/>
    <s v="Patient 1208"/>
    <n v="29"/>
    <s v="FEMALE"/>
    <s v="Medicare"/>
    <n v="70"/>
    <x v="85"/>
    <n v="3"/>
    <s v="No"/>
    <n v="1265.83"/>
    <x v="1"/>
    <n v="5"/>
  </r>
  <r>
    <s v="1211"/>
    <d v="2026-01-25T00:00:00"/>
    <d v="1899-12-30T11:11:00"/>
    <x v="0"/>
    <x v="0"/>
    <s v="Patient 1211"/>
    <n v="999"/>
    <s v="FEMALE"/>
    <s v="Medicare"/>
    <n v="65"/>
    <x v="49"/>
    <n v="3.4"/>
    <s v="No"/>
    <n v="3917.48"/>
    <x v="1"/>
    <n v="7"/>
  </r>
  <r>
    <s v="1204"/>
    <d v="2026-01-25T00:00:00"/>
    <d v="1899-12-30T17:09:00"/>
    <x v="4"/>
    <x v="4"/>
    <s v="Patient 1204"/>
    <n v="40"/>
    <s v="FEMALE"/>
    <s v="Uninsured"/>
    <n v="69"/>
    <x v="27"/>
    <n v="3"/>
    <s v="Yes"/>
    <n v="547.63"/>
    <x v="2"/>
    <n v="7"/>
  </r>
  <r>
    <s v="1207"/>
    <d v="2026-01-25T00:00:00"/>
    <d v="1899-12-30T16:16:00"/>
    <x v="1"/>
    <x v="1"/>
    <s v="Patient 1207"/>
    <n v="76"/>
    <s v="FEMALE"/>
    <s v="Medicare"/>
    <n v="76"/>
    <x v="69"/>
    <n v="3.3"/>
    <s v="Yes"/>
    <n v="1993.28"/>
    <x v="2"/>
    <n v="2"/>
  </r>
  <r>
    <s v="1212"/>
    <d v="2026-01-25T00:00:00"/>
    <d v="1899-12-30T13:02:00"/>
    <x v="1"/>
    <x v="1"/>
    <s v="Patient 1212"/>
    <n v="10"/>
    <s v="MALE"/>
    <s v="Uninsured"/>
    <n v="61"/>
    <x v="6"/>
    <n v="3.9"/>
    <s v="No"/>
    <n v="2235.87"/>
    <x v="1"/>
    <n v="6"/>
  </r>
  <r>
    <s v="1202"/>
    <d v="2026-01-25T00:00:00"/>
    <d v="1899-12-30T17:26:00"/>
    <x v="4"/>
    <x v="4"/>
    <s v="Patient 1202"/>
    <n v="68"/>
    <s v="MALE"/>
    <s v="Private"/>
    <n v="91"/>
    <x v="12"/>
    <n v="3.3"/>
    <s v="Yes"/>
    <n v="1001.87"/>
    <x v="2"/>
    <n v="7"/>
  </r>
  <r>
    <s v="1214"/>
    <d v="2026-01-26T00:00:00"/>
    <d v="1899-12-30T20:46:00"/>
    <x v="0"/>
    <x v="0"/>
    <s v="Patient 1214"/>
    <n v="68"/>
    <s v="FEMALE"/>
    <s v="Medicare"/>
    <n v="112"/>
    <x v="86"/>
    <n v="1.6"/>
    <s v="No"/>
    <n v="3303.08"/>
    <x v="2"/>
    <n v="4"/>
  </r>
  <r>
    <s v="1218"/>
    <d v="2026-01-26T00:00:00"/>
    <d v="1899-12-30T16:54:00"/>
    <x v="4"/>
    <x v="4"/>
    <s v="Patient 1218"/>
    <n v="51"/>
    <s v="FEMALE"/>
    <s v="Medicaid"/>
    <n v="82"/>
    <x v="24"/>
    <n v="2.9"/>
    <s v="No"/>
    <n v="952.66"/>
    <x v="2"/>
    <n v="11"/>
  </r>
  <r>
    <s v="1220"/>
    <d v="2026-01-26T00:00:00"/>
    <d v="1899-12-30T10:31:00"/>
    <x v="2"/>
    <x v="2"/>
    <s v="Patient 1220"/>
    <n v="6"/>
    <s v="FEMALE"/>
    <s v="Private"/>
    <n v="35"/>
    <x v="12"/>
    <n v="3.2"/>
    <s v="No"/>
    <n v="319.33999999999997"/>
    <x v="1"/>
    <n v="7"/>
  </r>
  <r>
    <s v="1215"/>
    <d v="2026-01-26T00:00:00"/>
    <d v="1899-12-30T07:36:00"/>
    <x v="2"/>
    <x v="2"/>
    <s v="Patient 1215"/>
    <n v="87"/>
    <s v="MALE"/>
    <s v="Private"/>
    <n v="5"/>
    <x v="47"/>
    <n v="4"/>
    <s v="No"/>
    <n v="684.71"/>
    <x v="1"/>
    <n v="7"/>
  </r>
  <r>
    <s v="1217"/>
    <d v="2026-01-26T00:00:00"/>
    <d v="1899-12-30T08:12:00"/>
    <x v="4"/>
    <x v="4"/>
    <s v="Patient 1217"/>
    <n v="60"/>
    <s v="MALE"/>
    <s v="Medicaid"/>
    <n v="59"/>
    <x v="44"/>
    <m/>
    <s v="No"/>
    <n v="1102.24"/>
    <x v="1"/>
    <n v="8"/>
  </r>
  <r>
    <s v="1219"/>
    <d v="2026-01-26T00:00:00"/>
    <d v="1899-12-30T09:24:00"/>
    <x v="4"/>
    <x v="4"/>
    <s v="Patient 1219"/>
    <n v="75"/>
    <s v="FEMALE"/>
    <s v="Private"/>
    <n v="31"/>
    <x v="83"/>
    <n v="3.3"/>
    <s v="Yes"/>
    <n v="929.13"/>
    <x v="1"/>
    <n v="8"/>
  </r>
  <r>
    <s v="1216"/>
    <d v="2026-01-26T00:00:00"/>
    <d v="1899-12-30T17:52:00"/>
    <x v="3"/>
    <x v="3"/>
    <s v="Patient 1216"/>
    <n v="37"/>
    <s v="MALE"/>
    <s v="Medicaid"/>
    <n v="76"/>
    <x v="73"/>
    <n v="3.2"/>
    <s v="No"/>
    <n v="1473.68"/>
    <x v="2"/>
    <n v="6"/>
  </r>
  <r>
    <s v="1229"/>
    <d v="2026-01-27T00:00:00"/>
    <d v="1899-12-30T20:30:00"/>
    <x v="3"/>
    <x v="3"/>
    <s v="Patient 1229"/>
    <n v="48"/>
    <s v="MALE"/>
    <s v="Medicaid"/>
    <n v="56"/>
    <x v="27"/>
    <n v="3.2"/>
    <s v="No"/>
    <n v="1217.9100000000001"/>
    <x v="2"/>
    <n v="7"/>
  </r>
  <r>
    <s v="1223"/>
    <d v="2026-01-27T00:00:00"/>
    <d v="1899-12-30T16:57:00"/>
    <x v="4"/>
    <x v="4"/>
    <s v="Patient 1223"/>
    <n v="38"/>
    <s v="MALE"/>
    <s v="Medicaid"/>
    <n v="70"/>
    <x v="78"/>
    <n v="4.4000000000000004"/>
    <s v="No"/>
    <n v="1196.93"/>
    <x v="2"/>
    <n v="12"/>
  </r>
  <r>
    <s v="1224"/>
    <d v="2026-01-27T00:00:00"/>
    <d v="1899-12-30T15:42:00"/>
    <x v="4"/>
    <x v="4"/>
    <s v="Patient 1224"/>
    <n v="1"/>
    <s v="FEMALE"/>
    <s v="Uninsured"/>
    <n v="25"/>
    <x v="12"/>
    <n v="3.8"/>
    <s v="No"/>
    <n v="496.22"/>
    <x v="2"/>
    <n v="12"/>
  </r>
  <r>
    <s v="1225"/>
    <d v="2026-01-27T00:00:00"/>
    <d v="1899-12-30T11:45:00"/>
    <x v="4"/>
    <x v="4"/>
    <s v="Patient 1225"/>
    <n v="72"/>
    <s v="MALE"/>
    <s v="Medicaid"/>
    <n v="54"/>
    <x v="45"/>
    <n v="3.3"/>
    <s v="No"/>
    <n v="835.47"/>
    <x v="1"/>
    <n v="7"/>
  </r>
  <r>
    <s v="1226"/>
    <d v="2026-01-27T00:00:00"/>
    <d v="1899-12-30T18:57:00"/>
    <x v="0"/>
    <x v="0"/>
    <s v="Patient 1226"/>
    <n v="41"/>
    <s v="FEMALE"/>
    <s v="Medicaid"/>
    <n v="76"/>
    <x v="48"/>
    <n v="3"/>
    <s v="No"/>
    <n v="3586.69"/>
    <x v="2"/>
    <n v="5"/>
  </r>
  <r>
    <s v="1227"/>
    <d v="2026-01-27T00:00:00"/>
    <d v="1899-12-30T18:18:00"/>
    <x v="3"/>
    <x v="3"/>
    <s v="Patient 1227"/>
    <n v="58"/>
    <s v="MALE"/>
    <s v="Medicare"/>
    <n v="69"/>
    <x v="67"/>
    <n v="3.1"/>
    <s v="No"/>
    <n v="795.98"/>
    <x v="2"/>
    <n v="7"/>
  </r>
  <r>
    <s v="1228"/>
    <d v="2026-01-27T00:00:00"/>
    <d v="1899-12-30T19:50:00"/>
    <x v="3"/>
    <x v="3"/>
    <s v="Patient 1228"/>
    <n v="83"/>
    <s v="MALE"/>
    <s v="Uninsured"/>
    <n v="78"/>
    <x v="23"/>
    <n v="3.6"/>
    <s v="No"/>
    <n v="1621.55"/>
    <x v="2"/>
    <n v="7"/>
  </r>
  <r>
    <s v="1222"/>
    <d v="2026-01-27T00:00:00"/>
    <d v="1899-12-30T07:17:00"/>
    <x v="4"/>
    <x v="4"/>
    <s v="Patient 1222"/>
    <n v="66"/>
    <s v="MALE"/>
    <s v="Medicaid"/>
    <n v="24"/>
    <x v="40"/>
    <n v="4"/>
    <s v="Yes"/>
    <n v="749.08"/>
    <x v="1"/>
    <n v="7"/>
  </r>
  <r>
    <s v="1230"/>
    <d v="2026-01-27T00:00:00"/>
    <d v="1899-12-30T08:57:00"/>
    <x v="4"/>
    <x v="4"/>
    <s v="Patient 1230"/>
    <n v="80"/>
    <s v="FEMALE"/>
    <s v="Medicare"/>
    <n v="41"/>
    <x v="37"/>
    <n v="3.1"/>
    <s v="No"/>
    <n v="499.8"/>
    <x v="1"/>
    <n v="7"/>
  </r>
  <r>
    <s v="1221"/>
    <d v="2026-01-27T00:00:00"/>
    <d v="1899-12-30T11:38:00"/>
    <x v="3"/>
    <x v="3"/>
    <s v="Patient 1221"/>
    <n v="20"/>
    <s v="MALE"/>
    <s v="Private"/>
    <n v="22"/>
    <x v="6"/>
    <n v="3.5"/>
    <s v="No"/>
    <n v="1786.66"/>
    <x v="1"/>
    <n v="6"/>
  </r>
  <r>
    <s v="1225"/>
    <d v="2026-01-27T00:00:00"/>
    <d v="1899-12-30T11:45:00"/>
    <x v="4"/>
    <x v="4"/>
    <s v="Patient 1225"/>
    <n v="72"/>
    <s v="MALE"/>
    <s v="Medicaid"/>
    <n v="54"/>
    <x v="45"/>
    <n v="3.3"/>
    <s v="No"/>
    <n v="835.47"/>
    <x v="1"/>
    <n v="7"/>
  </r>
  <r>
    <s v="1238"/>
    <d v="2026-01-28T00:00:00"/>
    <d v="1899-12-30T12:34:00"/>
    <x v="0"/>
    <x v="0"/>
    <s v="Patient 1238"/>
    <n v="50"/>
    <s v="MALE"/>
    <s v="Medicaid"/>
    <n v="54"/>
    <x v="87"/>
    <n v="2.9"/>
    <s v="No"/>
    <n v="2811.24"/>
    <x v="1"/>
    <n v="11"/>
  </r>
  <r>
    <s v="1237"/>
    <d v="2026-01-28T00:00:00"/>
    <d v="1899-12-30T10:11:00"/>
    <x v="4"/>
    <x v="4"/>
    <s v="Patient 1237"/>
    <n v="33"/>
    <s v="FEMALE"/>
    <s v="Private"/>
    <n v="84"/>
    <x v="53"/>
    <n v="3.6"/>
    <s v="No"/>
    <n v="937.77"/>
    <x v="1"/>
    <n v="7"/>
  </r>
  <r>
    <s v="1239"/>
    <d v="2026-01-28T00:00:00"/>
    <d v="1899-12-30T18:33:00"/>
    <x v="4"/>
    <x v="4"/>
    <s v="Patient 1239"/>
    <n v="53"/>
    <s v="FEMALE"/>
    <s v="Private"/>
    <n v="77"/>
    <x v="40"/>
    <n v="4"/>
    <s v="No"/>
    <n v="543.09"/>
    <x v="2"/>
    <n v="10"/>
  </r>
  <r>
    <s v="1240"/>
    <d v="2026-01-28T00:00:00"/>
    <d v="1899-12-30T17:04:00"/>
    <x v="2"/>
    <x v="2"/>
    <s v="Patient 1240"/>
    <n v="32"/>
    <s v="FEMALE"/>
    <s v="Private"/>
    <n v="71"/>
    <x v="69"/>
    <n v="3.1"/>
    <s v="No"/>
    <n v="456.98"/>
    <x v="2"/>
    <n v="7"/>
  </r>
  <r>
    <s v="1233"/>
    <d v="2026-01-28T00:00:00"/>
    <d v="1899-12-30T10:43:00"/>
    <x v="4"/>
    <x v="4"/>
    <s v="Patient 1233"/>
    <n v="18"/>
    <s v="MALE"/>
    <s v="Medicare"/>
    <n v="41"/>
    <x v="70"/>
    <n v="3.7"/>
    <s v="No"/>
    <n v="715.6"/>
    <x v="1"/>
    <n v="7"/>
  </r>
  <r>
    <s v="1236"/>
    <d v="2026-01-28T00:00:00"/>
    <d v="1899-12-30T14:28:00"/>
    <x v="0"/>
    <x v="0"/>
    <s v="Patient 1236"/>
    <n v="999"/>
    <s v="FEMALE"/>
    <s v="Medicaid"/>
    <n v="58"/>
    <x v="74"/>
    <n v="3.6"/>
    <s v="No"/>
    <n v="4312.8"/>
    <x v="1"/>
    <n v="11"/>
  </r>
  <r>
    <s v="1234"/>
    <d v="2026-01-28T00:00:00"/>
    <d v="1899-12-30T18:32:00"/>
    <x v="2"/>
    <x v="2"/>
    <s v="Patient 1234"/>
    <n v="51"/>
    <s v="FEMALE"/>
    <s v="Medicaid"/>
    <n v="61"/>
    <x v="82"/>
    <n v="3.8"/>
    <s v="No"/>
    <n v="471.58"/>
    <x v="2"/>
    <n v="7"/>
  </r>
  <r>
    <s v="1231"/>
    <d v="2026-01-28T00:00:00"/>
    <d v="1899-12-30T14:44:00"/>
    <x v="0"/>
    <x v="0"/>
    <s v="Patient 1231"/>
    <n v="51"/>
    <s v="MALE"/>
    <s v="Private"/>
    <n v="48"/>
    <x v="63"/>
    <n v="3.4"/>
    <s v="Yes"/>
    <n v="1922.52"/>
    <x v="1"/>
    <n v="11"/>
  </r>
  <r>
    <s v="1232"/>
    <d v="2026-01-28T00:00:00"/>
    <d v="1899-12-30T09:46:00"/>
    <x v="1"/>
    <x v="1"/>
    <s v="Patient 1232"/>
    <n v="33"/>
    <s v="FEMALE"/>
    <s v="Medicare"/>
    <n v="6"/>
    <x v="3"/>
    <n v="4.2"/>
    <s v="No"/>
    <n v="1388.93"/>
    <x v="1"/>
    <n v="5"/>
  </r>
  <r>
    <s v="1235"/>
    <d v="2026-01-28T00:00:00"/>
    <d v="1899-12-30T16:57:00"/>
    <x v="2"/>
    <x v="2"/>
    <s v="Patient 1235"/>
    <n v="36"/>
    <s v="MALE"/>
    <s v="Medicaid"/>
    <n v="16"/>
    <x v="32"/>
    <n v="4.7"/>
    <s v="No"/>
    <n v="908.94"/>
    <x v="2"/>
    <n v="7"/>
  </r>
  <r>
    <s v="1241"/>
    <d v="2026-01-29T00:00:00"/>
    <d v="1899-12-30T20:51:00"/>
    <x v="4"/>
    <x v="4"/>
    <s v="Patient 1241"/>
    <n v="42"/>
    <s v="MALE"/>
    <s v="Uninsured"/>
    <n v="67"/>
    <x v="28"/>
    <n v="4.3"/>
    <s v="No"/>
    <n v="762.02"/>
    <x v="2"/>
    <n v="8"/>
  </r>
  <r>
    <s v="1249"/>
    <d v="2026-01-29T00:00:00"/>
    <d v="1899-12-30T23:39:00"/>
    <x v="1"/>
    <x v="1"/>
    <s v="Patient 1249"/>
    <n v="53"/>
    <s v="FEMALE"/>
    <s v="Uninsured"/>
    <n v="57"/>
    <x v="68"/>
    <n v="3.7"/>
    <s v="No"/>
    <n v="1920.54"/>
    <x v="2"/>
    <n v="3"/>
  </r>
  <r>
    <s v="1245"/>
    <d v="2026-01-29T00:00:00"/>
    <d v="1899-12-30T12:43:00"/>
    <x v="3"/>
    <x v="3"/>
    <s v="Patient 1245"/>
    <n v="47"/>
    <s v="FEMALE"/>
    <s v="Medicare"/>
    <n v="30"/>
    <x v="12"/>
    <n v="4.0999999999999996"/>
    <s v="No"/>
    <n v="1132.31"/>
    <x v="1"/>
    <n v="4"/>
  </r>
  <r>
    <s v="1247"/>
    <d v="2026-01-29T00:00:00"/>
    <d v="1899-12-30T22:45:00"/>
    <x v="3"/>
    <x v="3"/>
    <s v="Patient 1247"/>
    <n v="43"/>
    <s v="MALE"/>
    <s v="Medicaid"/>
    <n v="78"/>
    <x v="76"/>
    <n v="2.8"/>
    <s v="No"/>
    <n v="1681.17"/>
    <x v="2"/>
    <n v="3"/>
  </r>
  <r>
    <s v="1243"/>
    <d v="2026-01-29T00:00:00"/>
    <d v="1899-12-30T10:37:00"/>
    <x v="2"/>
    <x v="2"/>
    <s v="Patient 1243"/>
    <n v="61"/>
    <s v="MALE"/>
    <s v="Private"/>
    <n v="5"/>
    <x v="56"/>
    <n v="2.7"/>
    <s v="No"/>
    <n v="765.11"/>
    <x v="1"/>
    <n v="4"/>
  </r>
  <r>
    <s v="1250"/>
    <d v="2026-01-29T00:00:00"/>
    <d v="1899-12-30T22:49:00"/>
    <x v="4"/>
    <x v="4"/>
    <s v="Patient 1250"/>
    <n v="36"/>
    <s v="MALE"/>
    <s v="Private"/>
    <n v="69"/>
    <x v="76"/>
    <n v="3"/>
    <s v="No"/>
    <n v="581.38"/>
    <x v="2"/>
    <n v="8"/>
  </r>
  <r>
    <s v="1248"/>
    <d v="2026-01-29T00:00:00"/>
    <d v="1899-12-30T15:39:00"/>
    <x v="4"/>
    <x v="4"/>
    <s v="Patient 1248"/>
    <n v="1"/>
    <s v="MALE"/>
    <s v="Private"/>
    <n v="34"/>
    <x v="75"/>
    <n v="2.9"/>
    <s v="No"/>
    <n v="934.38"/>
    <x v="2"/>
    <n v="8"/>
  </r>
  <r>
    <s v="1244"/>
    <d v="2026-01-29T00:00:00"/>
    <d v="1899-12-30T18:57:00"/>
    <x v="0"/>
    <x v="0"/>
    <s v="Patient 1244"/>
    <n v="72"/>
    <s v="FEMALE"/>
    <s v="Uninsured"/>
    <n v="80"/>
    <x v="80"/>
    <n v="3.3"/>
    <s v="No"/>
    <n v="2952.19"/>
    <x v="2"/>
    <n v="6"/>
  </r>
  <r>
    <s v="1242"/>
    <d v="2026-01-29T00:00:00"/>
    <d v="1899-12-30T10:24:00"/>
    <x v="4"/>
    <x v="4"/>
    <s v="Patient 1242"/>
    <n v="45"/>
    <s v="MALE"/>
    <s v="Private"/>
    <n v="25"/>
    <x v="12"/>
    <n v="4.0999999999999996"/>
    <s v="No"/>
    <n v="1010.77"/>
    <x v="1"/>
    <n v="7"/>
  </r>
  <r>
    <s v="1246"/>
    <d v="2026-01-29T00:00:00"/>
    <d v="1899-12-30T18:02:00"/>
    <x v="2"/>
    <x v="2"/>
    <s v="Patient 1246"/>
    <n v="999"/>
    <s v="FEMALE"/>
    <s v="Medicare"/>
    <n v="68"/>
    <x v="68"/>
    <n v="3.5"/>
    <s v="No"/>
    <n v="713.1"/>
    <x v="2"/>
    <n v="7"/>
  </r>
  <r>
    <s v="1253"/>
    <d v="2026-01-30T00:00:00"/>
    <d v="1899-12-30T11:49:00"/>
    <x v="2"/>
    <x v="2"/>
    <s v="Patient 1253"/>
    <n v="41"/>
    <s v="MALE"/>
    <s v="Medicaid"/>
    <n v="31"/>
    <x v="4"/>
    <n v="3.1"/>
    <s v="No"/>
    <n v="604.28"/>
    <x v="1"/>
    <n v="5"/>
  </r>
  <r>
    <s v="1259"/>
    <d v="2026-01-30T00:00:00"/>
    <d v="1899-12-30T06:00:00"/>
    <x v="2"/>
    <x v="2"/>
    <s v="Patient 1259"/>
    <n v="21"/>
    <s v="FEMALE"/>
    <s v="Private"/>
    <n v="44"/>
    <x v="88"/>
    <n v="4.8"/>
    <s v="No"/>
    <n v="898.91"/>
    <x v="0"/>
    <n v="2"/>
  </r>
  <r>
    <s v="1258"/>
    <d v="2026-01-30T00:00:00"/>
    <d v="1899-12-30T11:00:00"/>
    <x v="4"/>
    <x v="4"/>
    <s v="Patient 1258"/>
    <n v="40"/>
    <s v="FEMALE"/>
    <s v="Medicaid"/>
    <n v="67"/>
    <x v="27"/>
    <n v="3"/>
    <s v="Yes"/>
    <n v="693.83"/>
    <x v="1"/>
    <n v="5"/>
  </r>
  <r>
    <s v="1254"/>
    <d v="2026-01-30T00:00:00"/>
    <d v="1899-12-30T16:34:00"/>
    <x v="1"/>
    <x v="1"/>
    <s v="Patient 1254"/>
    <n v="73"/>
    <s v="MALE"/>
    <s v="Private"/>
    <n v="21"/>
    <x v="37"/>
    <n v="3.4"/>
    <s v="No"/>
    <n v="705.58"/>
    <x v="2"/>
    <n v="5"/>
  </r>
  <r>
    <s v="1255"/>
    <d v="2026-01-30T00:00:00"/>
    <d v="1899-12-30T13:43:00"/>
    <x v="0"/>
    <x v="0"/>
    <s v="Patient 1255"/>
    <n v="39"/>
    <s v="FEMALE"/>
    <s v="Private"/>
    <n v="39"/>
    <x v="89"/>
    <n v="2.7"/>
    <s v="No"/>
    <n v="4407.82"/>
    <x v="1"/>
    <n v="9"/>
  </r>
  <r>
    <s v="1254"/>
    <d v="2026-01-30T00:00:00"/>
    <d v="1899-12-30T16:34:00"/>
    <x v="1"/>
    <x v="1"/>
    <s v="Patient 1254"/>
    <n v="73"/>
    <s v="MALE"/>
    <s v="Private"/>
    <n v="21"/>
    <x v="37"/>
    <n v="3.4"/>
    <s v="No"/>
    <n v="705.58"/>
    <x v="2"/>
    <n v="5"/>
  </r>
  <r>
    <s v="1257"/>
    <d v="2026-01-30T00:00:00"/>
    <d v="1899-12-30T12:44:00"/>
    <x v="1"/>
    <x v="1"/>
    <s v="Patient 1257"/>
    <n v="66"/>
    <s v="MALE"/>
    <s v="Medicaid"/>
    <n v="27"/>
    <x v="44"/>
    <n v="3.6"/>
    <s v="No"/>
    <n v="1855.54"/>
    <x v="1"/>
    <n v="7"/>
  </r>
  <r>
    <s v="1251"/>
    <d v="2026-01-30T00:00:00"/>
    <d v="1899-12-30T05:46:00"/>
    <x v="3"/>
    <x v="3"/>
    <s v="Patient 1251"/>
    <n v="75"/>
    <s v="MALE"/>
    <s v="Medicaid"/>
    <n v="37"/>
    <x v="3"/>
    <n v="4.7"/>
    <s v="Yes"/>
    <n v="1270.48"/>
    <x v="0"/>
    <n v="5"/>
  </r>
  <r>
    <s v="1256"/>
    <d v="2026-01-30T00:00:00"/>
    <d v="1899-12-30T06:25:00"/>
    <x v="4"/>
    <x v="4"/>
    <s v="Patient 1256"/>
    <n v="50"/>
    <s v="MALE"/>
    <s v="Private"/>
    <n v="42"/>
    <x v="83"/>
    <n v="3.9"/>
    <s v="No"/>
    <n v="887.23"/>
    <x v="0"/>
    <n v="8"/>
  </r>
  <r>
    <s v="1252"/>
    <d v="2026-01-30T00:00:00"/>
    <d v="1899-12-30T12:10:00"/>
    <x v="4"/>
    <x v="4"/>
    <s v="Patient 1252"/>
    <n v="32"/>
    <s v="MALE"/>
    <s v="Medicaid"/>
    <n v="65"/>
    <x v="41"/>
    <n v="2.5"/>
    <s v="No"/>
    <n v="899.54"/>
    <x v="1"/>
    <n v="5"/>
  </r>
  <r>
    <s v="1266"/>
    <d v="2026-01-31T00:00:00"/>
    <d v="1899-12-30T01:30:00"/>
    <x v="3"/>
    <x v="3"/>
    <s v="Patient 1266"/>
    <n v="56"/>
    <s v="FEMALE"/>
    <s v="Medicare"/>
    <n v="41"/>
    <x v="54"/>
    <n v="3.6"/>
    <s v="No"/>
    <n v="940.25"/>
    <x v="0"/>
    <n v="2"/>
  </r>
  <r>
    <s v="1268"/>
    <d v="2026-01-31T00:00:00"/>
    <d v="1899-12-30T08:26:00"/>
    <x v="1"/>
    <x v="1"/>
    <s v="Patient 1268"/>
    <n v="45"/>
    <s v="FEMALE"/>
    <s v="Private"/>
    <n v="51"/>
    <x v="50"/>
    <n v="3.1"/>
    <s v="No"/>
    <n v="2478.7399999999998"/>
    <x v="1"/>
    <n v="4"/>
  </r>
  <r>
    <s v="1267"/>
    <d v="2026-01-31T00:00:00"/>
    <d v="1899-12-30T12:21:00"/>
    <x v="1"/>
    <x v="1"/>
    <s v="Patient 1267"/>
    <n v="69"/>
    <s v="MALE"/>
    <s v="Private"/>
    <n v="43"/>
    <x v="51"/>
    <n v="3.7"/>
    <s v="No"/>
    <n v="2415.4699999999998"/>
    <x v="1"/>
    <n v="4"/>
  </r>
  <r>
    <s v="1263"/>
    <d v="2026-01-31T00:00:00"/>
    <d v="1899-12-30T10:59:00"/>
    <x v="4"/>
    <x v="4"/>
    <s v="Patient 1263"/>
    <n v="66"/>
    <s v="MALE"/>
    <s v="Uninsured"/>
    <n v="82"/>
    <x v="37"/>
    <n v="3.9"/>
    <s v="No"/>
    <n v="778.3"/>
    <x v="1"/>
    <n v="6"/>
  </r>
  <r>
    <s v="1264"/>
    <d v="2026-01-31T00:00:00"/>
    <d v="1899-12-30T01:41:00"/>
    <x v="2"/>
    <x v="2"/>
    <s v="Patient 1264"/>
    <n v="83"/>
    <s v="FEMALE"/>
    <s v="Private"/>
    <n v="36"/>
    <x v="18"/>
    <n v="3.1"/>
    <s v="No"/>
    <n v="458.11"/>
    <x v="0"/>
    <n v="2"/>
  </r>
  <r>
    <s v="1262"/>
    <d v="2026-01-31T00:00:00"/>
    <d v="1899-12-30T05:32:00"/>
    <x v="4"/>
    <x v="4"/>
    <s v="Patient 1262"/>
    <n v="49"/>
    <s v="MALE"/>
    <s v="Private"/>
    <n v="60"/>
    <x v="11"/>
    <n v="4.8"/>
    <s v="Yes"/>
    <n v="849.69"/>
    <x v="0"/>
    <n v="7"/>
  </r>
  <r>
    <s v="1269"/>
    <d v="2026-01-31T00:00:00"/>
    <d v="1899-12-30T10:45:00"/>
    <x v="2"/>
    <x v="2"/>
    <s v="Patient 1269"/>
    <n v="44"/>
    <s v="FEMALE"/>
    <s v="Medicare"/>
    <n v="56"/>
    <x v="12"/>
    <n v="3.9"/>
    <s v="No"/>
    <n v="964.57"/>
    <x v="1"/>
    <n v="5"/>
  </r>
  <r>
    <s v="1261"/>
    <d v="2026-01-31T00:00:00"/>
    <d v="1899-12-30T07:29:00"/>
    <x v="4"/>
    <x v="4"/>
    <s v="Patient 1261"/>
    <n v="53"/>
    <s v="FEMALE"/>
    <s v="Uninsured"/>
    <n v="46"/>
    <x v="6"/>
    <n v="4.0999999999999996"/>
    <s v="No"/>
    <n v="750.78"/>
    <x v="1"/>
    <n v="6"/>
  </r>
  <r>
    <s v="1260"/>
    <d v="2026-01-31T00:00:00"/>
    <d v="1899-12-30T18:59:00"/>
    <x v="4"/>
    <x v="4"/>
    <s v="Patient 1260"/>
    <n v="74"/>
    <s v="FEMALE"/>
    <s v="Medicaid"/>
    <n v="82"/>
    <x v="57"/>
    <n v="2.6"/>
    <s v="No"/>
    <n v="984.79"/>
    <x v="2"/>
    <n v="9"/>
  </r>
  <r>
    <s v="1265"/>
    <d v="2026-01-31T00:00:00"/>
    <d v="1899-12-30T17:01:00"/>
    <x v="4"/>
    <x v="4"/>
    <s v="Patient 1265"/>
    <n v="42"/>
    <s v="FEMALE"/>
    <s v="Medicare"/>
    <n v="49"/>
    <x v="46"/>
    <m/>
    <s v="No"/>
    <n v="938"/>
    <x v="2"/>
    <n v="9"/>
  </r>
  <r>
    <s v="1275"/>
    <d v="2026-02-01T00:00:00"/>
    <d v="1899-12-30T17:49:00"/>
    <x v="4"/>
    <x v="4"/>
    <s v="Patient 1275"/>
    <n v="37"/>
    <s v="FEMALE"/>
    <s v="Medicaid"/>
    <n v="71"/>
    <x v="37"/>
    <n v="3.3"/>
    <s v="No"/>
    <n v="868.76"/>
    <x v="2"/>
    <n v="10"/>
  </r>
  <r>
    <s v="1270"/>
    <d v="2026-02-01T00:00:00"/>
    <d v="1899-12-30T17:37:00"/>
    <x v="1"/>
    <x v="1"/>
    <s v="Patient 1270"/>
    <n v="60"/>
    <s v="FEMALE"/>
    <s v="Medicare"/>
    <n v="42"/>
    <x v="9"/>
    <n v="3.4"/>
    <s v="No"/>
    <n v="1409.1"/>
    <x v="2"/>
    <n v="2"/>
  </r>
  <r>
    <s v="1271"/>
    <d v="2026-02-01T00:00:00"/>
    <d v="1899-12-30T10:23:00"/>
    <x v="3"/>
    <x v="3"/>
    <s v="Patient 1271"/>
    <n v="32"/>
    <s v="MALE"/>
    <s v="Medicare"/>
    <n v="58"/>
    <x v="3"/>
    <n v="3.9"/>
    <s v="No"/>
    <m/>
    <x v="1"/>
    <n v="6"/>
  </r>
  <r>
    <s v="1277"/>
    <d v="2026-02-01T00:00:00"/>
    <d v="1899-12-30T10:04:00"/>
    <x v="1"/>
    <x v="1"/>
    <s v="Patient 1277"/>
    <n v="58"/>
    <s v="MALE"/>
    <s v="Medicare"/>
    <n v="34"/>
    <x v="53"/>
    <n v="4.8"/>
    <s v="No"/>
    <n v="1509.63"/>
    <x v="1"/>
    <n v="6"/>
  </r>
  <r>
    <s v="1278"/>
    <d v="2026-02-01T00:00:00"/>
    <d v="1899-12-30T12:45:00"/>
    <x v="3"/>
    <x v="3"/>
    <s v="Patient 1278"/>
    <n v="45"/>
    <s v="FEMALE"/>
    <s v="Uninsured"/>
    <n v="70"/>
    <x v="12"/>
    <n v="3.9"/>
    <s v="No"/>
    <n v="1777.97"/>
    <x v="1"/>
    <n v="6"/>
  </r>
  <r>
    <s v="1276"/>
    <d v="2026-02-01T00:00:00"/>
    <d v="1899-12-30T20:50:00"/>
    <x v="3"/>
    <x v="3"/>
    <s v="Patient 1276"/>
    <n v="45"/>
    <s v="FEMALE"/>
    <s v="Medicaid"/>
    <n v="113"/>
    <x v="60"/>
    <n v="2.9"/>
    <s v="No"/>
    <n v="1460.09"/>
    <x v="2"/>
    <n v="6"/>
  </r>
  <r>
    <s v="1272"/>
    <d v="2026-02-01T00:00:00"/>
    <d v="1899-12-30T22:27:00"/>
    <x v="1"/>
    <x v="1"/>
    <s v="Patient 1272"/>
    <n v="10"/>
    <s v="MALE"/>
    <s v="Medicaid"/>
    <n v="65"/>
    <x v="51"/>
    <n v="4.5999999999999996"/>
    <s v="No"/>
    <n v="1569.16"/>
    <x v="2"/>
    <n v="2"/>
  </r>
  <r>
    <s v="1274"/>
    <d v="2026-02-01T00:00:00"/>
    <d v="1899-12-30T18:25:00"/>
    <x v="4"/>
    <x v="4"/>
    <s v="Patient 1274"/>
    <n v="39"/>
    <s v="FEMALE"/>
    <s v="Medicare"/>
    <n v="70"/>
    <x v="47"/>
    <n v="2.9"/>
    <s v="No"/>
    <n v="805.44"/>
    <x v="2"/>
    <n v="10"/>
  </r>
  <r>
    <s v="1273"/>
    <d v="2026-02-01T00:00:00"/>
    <d v="1899-12-30T04:08:00"/>
    <x v="3"/>
    <x v="3"/>
    <s v="Patient 1273"/>
    <n v="55"/>
    <s v="MALE"/>
    <s v="Private"/>
    <n v="70"/>
    <x v="64"/>
    <n v="2.7"/>
    <s v="No"/>
    <n v="1167.44"/>
    <x v="0"/>
    <n v="3"/>
  </r>
  <r>
    <s v="1281"/>
    <d v="2026-02-02T00:00:00"/>
    <d v="1899-12-30T07:03:00"/>
    <x v="2"/>
    <x v="2"/>
    <s v="Patient 1281"/>
    <n v="23"/>
    <s v="MALE"/>
    <s v="Medicaid"/>
    <n v="41"/>
    <x v="11"/>
    <n v="4.8"/>
    <s v="No"/>
    <n v="728.5"/>
    <x v="1"/>
    <n v="4"/>
  </r>
  <r>
    <s v="1289"/>
    <d v="2026-02-02T00:00:00"/>
    <d v="1899-12-30T18:52:00"/>
    <x v="2"/>
    <x v="2"/>
    <s v="Patient 1289"/>
    <n v="57"/>
    <s v="FEMALE"/>
    <s v="Medicare"/>
    <n v="22"/>
    <x v="81"/>
    <n v="3.5"/>
    <s v="No"/>
    <n v="546.28"/>
    <x v="2"/>
    <n v="3"/>
  </r>
  <r>
    <s v="1286"/>
    <d v="2026-02-02T00:00:00"/>
    <d v="1899-12-30T19:48:00"/>
    <x v="2"/>
    <x v="2"/>
    <s v="Patient 1286"/>
    <n v="73"/>
    <s v="FEMALE"/>
    <s v="Private"/>
    <n v="49"/>
    <x v="90"/>
    <n v="3.6"/>
    <s v="Yes"/>
    <n v="310.95999999999998"/>
    <x v="2"/>
    <n v="3"/>
  </r>
  <r>
    <s v="1283"/>
    <d v="2026-02-02T00:00:00"/>
    <d v="1899-12-30T16:06:00"/>
    <x v="0"/>
    <x v="0"/>
    <s v="Patient 1283"/>
    <n v="47"/>
    <s v="FEMALE"/>
    <s v="Medicaid"/>
    <n v="62"/>
    <x v="39"/>
    <n v="3.2"/>
    <s v="No"/>
    <n v="2929.62"/>
    <x v="2"/>
    <n v="6"/>
  </r>
  <r>
    <s v="1282"/>
    <d v="2026-02-02T00:00:00"/>
    <d v="1899-12-30T11:04:00"/>
    <x v="1"/>
    <x v="1"/>
    <s v="Patient 1282"/>
    <n v="55"/>
    <s v="FEMALE"/>
    <s v="Private"/>
    <n v="23"/>
    <x v="79"/>
    <n v="4.9000000000000004"/>
    <s v="No"/>
    <n v="2130.39"/>
    <x v="1"/>
    <n v="5"/>
  </r>
  <r>
    <s v="1280"/>
    <d v="2026-02-02T00:00:00"/>
    <d v="1899-12-30T17:39:00"/>
    <x v="4"/>
    <x v="4"/>
    <s v="Patient 1280"/>
    <n v="51"/>
    <s v="FEMALE"/>
    <s v="Medicare"/>
    <n v="66"/>
    <x v="6"/>
    <n v="3.1"/>
    <s v="No"/>
    <n v="709.14"/>
    <x v="2"/>
    <n v="10"/>
  </r>
  <r>
    <s v="1288"/>
    <d v="2026-02-02T00:00:00"/>
    <d v="1899-12-30T10:20:00"/>
    <x v="2"/>
    <x v="2"/>
    <s v="Patient 1288"/>
    <n v="45"/>
    <s v="MALE"/>
    <s v="Medicaid"/>
    <n v="23"/>
    <x v="11"/>
    <n v="3.6"/>
    <s v="Yes"/>
    <n v="788.08"/>
    <x v="1"/>
    <n v="4"/>
  </r>
  <r>
    <s v="1287"/>
    <d v="2026-02-02T00:00:00"/>
    <d v="1899-12-30T16:20:00"/>
    <x v="2"/>
    <x v="2"/>
    <s v="Patient 1287"/>
    <n v="44"/>
    <s v="FEMALE"/>
    <s v="Medicaid"/>
    <n v="58"/>
    <x v="24"/>
    <n v="2.7"/>
    <s v="Yes"/>
    <n v="827.06"/>
    <x v="2"/>
    <n v="3"/>
  </r>
  <r>
    <s v="1284"/>
    <d v="2026-02-02T00:00:00"/>
    <d v="1899-12-30T12:33:00"/>
    <x v="4"/>
    <x v="4"/>
    <s v="Patient 1284"/>
    <n v="42"/>
    <s v="FEMALE"/>
    <s v="Medicaid"/>
    <n v="37"/>
    <x v="12"/>
    <n v="3.7"/>
    <s v="No"/>
    <n v="796.11"/>
    <x v="1"/>
    <n v="8"/>
  </r>
  <r>
    <s v="1285"/>
    <d v="2026-02-02T00:00:00"/>
    <d v="1899-12-30T09:48:00"/>
    <x v="2"/>
    <x v="2"/>
    <s v="Patient 1285"/>
    <n v="58"/>
    <s v="FEMALE"/>
    <s v="Medicare"/>
    <n v="45"/>
    <x v="19"/>
    <n v="4.5999999999999996"/>
    <s v="No"/>
    <n v="1051.23"/>
    <x v="1"/>
    <n v="4"/>
  </r>
  <r>
    <s v="1279"/>
    <d v="2026-02-02T00:00:00"/>
    <d v="1899-12-30T21:13:00"/>
    <x v="2"/>
    <x v="2"/>
    <s v="Patient 1279"/>
    <n v="56"/>
    <s v="MALE"/>
    <s v="Medicare"/>
    <n v="26"/>
    <x v="12"/>
    <n v="4.2"/>
    <s v="No"/>
    <n v="670.49"/>
    <x v="2"/>
    <n v="3"/>
  </r>
  <r>
    <s v="1291"/>
    <d v="2026-02-03T00:00:00"/>
    <d v="1899-12-30T03:23:00"/>
    <x v="2"/>
    <x v="2"/>
    <s v="Patient 1291"/>
    <n v="45"/>
    <s v="MALE"/>
    <s v="Medicaid"/>
    <n v="36"/>
    <x v="22"/>
    <n v="3.8"/>
    <s v="No"/>
    <n v="625.36"/>
    <x v="0"/>
    <n v="5"/>
  </r>
  <r>
    <s v="1294"/>
    <d v="2026-02-03T00:00:00"/>
    <d v="1899-12-30T18:14:00"/>
    <x v="2"/>
    <x v="2"/>
    <s v="Patient 1294"/>
    <n v="61"/>
    <s v="FEMALE"/>
    <s v="Private"/>
    <n v="57"/>
    <x v="44"/>
    <n v="2.8"/>
    <s v="No"/>
    <n v="887.71"/>
    <x v="2"/>
    <n v="5"/>
  </r>
  <r>
    <s v="1295"/>
    <d v="2026-02-03T00:00:00"/>
    <d v="1899-12-30T23:35:00"/>
    <x v="4"/>
    <x v="4"/>
    <s v="Patient 1295"/>
    <n v="999"/>
    <s v="MALE"/>
    <s v="Uninsured"/>
    <n v="46"/>
    <x v="52"/>
    <n v="3.2"/>
    <s v="Yes"/>
    <n v="538.52"/>
    <x v="2"/>
    <n v="8"/>
  </r>
  <r>
    <s v="1296"/>
    <d v="2026-02-03T00:00:00"/>
    <d v="1899-12-30T21:32:00"/>
    <x v="4"/>
    <x v="4"/>
    <s v="Patient 1296"/>
    <n v="83"/>
    <s v="FEMALE"/>
    <s v="Medicare"/>
    <n v="55"/>
    <x v="18"/>
    <n v="2.7"/>
    <s v="No"/>
    <n v="568.84"/>
    <x v="2"/>
    <n v="8"/>
  </r>
  <r>
    <s v="1293"/>
    <d v="2026-02-03T00:00:00"/>
    <d v="1899-12-30T19:41:00"/>
    <x v="3"/>
    <x v="3"/>
    <s v="Patient 1293"/>
    <n v="52"/>
    <s v="FEMALE"/>
    <s v="Medicare"/>
    <n v="88"/>
    <x v="31"/>
    <n v="2.9"/>
    <m/>
    <n v="1625.64"/>
    <x v="2"/>
    <n v="3"/>
  </r>
  <r>
    <s v="1295"/>
    <d v="2026-02-03T00:00:00"/>
    <d v="1899-12-30T23:35:00"/>
    <x v="4"/>
    <x v="4"/>
    <s v="Patient 1295"/>
    <n v="999"/>
    <s v="MALE"/>
    <s v="Uninsured"/>
    <n v="46"/>
    <x v="52"/>
    <n v="3.2"/>
    <s v="Yes"/>
    <n v="538.52"/>
    <x v="2"/>
    <n v="8"/>
  </r>
  <r>
    <s v="1292"/>
    <d v="2026-02-03T00:00:00"/>
    <d v="1899-12-30T19:47:00"/>
    <x v="3"/>
    <x v="3"/>
    <s v="Patient 1292"/>
    <n v="68"/>
    <s v="MALE"/>
    <s v="Medicare"/>
    <n v="85"/>
    <x v="6"/>
    <n v="3.4"/>
    <s v="No"/>
    <n v="1101.6099999999999"/>
    <x v="2"/>
    <n v="3"/>
  </r>
  <r>
    <s v="1290"/>
    <d v="2026-02-03T00:00:00"/>
    <d v="1899-12-30T21:47:00"/>
    <x v="0"/>
    <x v="0"/>
    <s v="Patient 1290"/>
    <n v="40"/>
    <s v="FEMALE"/>
    <s v="Medicaid"/>
    <n v="99"/>
    <x v="69"/>
    <n v="3.5"/>
    <s v="No"/>
    <n v="2900.76"/>
    <x v="2"/>
    <n v="5"/>
  </r>
  <r>
    <s v="1299"/>
    <d v="2026-02-04T00:00:00"/>
    <d v="1899-12-30T17:12:00"/>
    <x v="4"/>
    <x v="4"/>
    <s v="Patient 1299"/>
    <n v="52"/>
    <s v="FEMALE"/>
    <s v="Medicaid"/>
    <n v="72"/>
    <x v="75"/>
    <n v="3.7"/>
    <s v="No"/>
    <n v="867.6"/>
    <x v="2"/>
    <n v="10"/>
  </r>
  <r>
    <s v="1301"/>
    <d v="2026-02-04T00:00:00"/>
    <d v="1899-12-30T17:25:00"/>
    <x v="4"/>
    <x v="4"/>
    <s v="Patient 1301"/>
    <n v="28"/>
    <s v="MALE"/>
    <s v="Medicare"/>
    <n v="70"/>
    <x v="46"/>
    <m/>
    <s v="No"/>
    <n v="599.27"/>
    <x v="2"/>
    <n v="10"/>
  </r>
  <r>
    <s v="1302"/>
    <d v="2026-02-04T00:00:00"/>
    <d v="1899-12-30T16:47:00"/>
    <x v="3"/>
    <x v="3"/>
    <s v="Patient 1302"/>
    <n v="48"/>
    <s v="FEMALE"/>
    <s v="Private"/>
    <n v="78"/>
    <x v="7"/>
    <n v="3.8"/>
    <s v="No"/>
    <n v="967.06"/>
    <x v="2"/>
    <n v="6"/>
  </r>
  <r>
    <s v="1303"/>
    <d v="2026-02-04T00:00:00"/>
    <d v="1899-12-30T11:30:00"/>
    <x v="0"/>
    <x v="0"/>
    <s v="Patient 1303"/>
    <n v="34"/>
    <s v="MALE"/>
    <s v="Private"/>
    <n v="45"/>
    <x v="65"/>
    <n v="4.5999999999999996"/>
    <s v="No"/>
    <n v="4231.67"/>
    <x v="1"/>
    <n v="11"/>
  </r>
  <r>
    <s v="1297"/>
    <d v="2026-02-04T00:00:00"/>
    <d v="1899-12-30T12:45:00"/>
    <x v="4"/>
    <x v="4"/>
    <s v="Patient 1297"/>
    <n v="20"/>
    <s v="MALE"/>
    <s v="Medicaid"/>
    <n v="43"/>
    <x v="70"/>
    <n v="4.0999999999999996"/>
    <s v="No"/>
    <n v="482.73"/>
    <x v="1"/>
    <n v="6"/>
  </r>
  <r>
    <s v="1300"/>
    <d v="2026-02-04T00:00:00"/>
    <d v="1899-12-30T19:49:00"/>
    <x v="4"/>
    <x v="4"/>
    <s v="Patient 1300"/>
    <n v="54"/>
    <s v="FEMALE"/>
    <s v="Uninsured"/>
    <n v="59"/>
    <x v="91"/>
    <n v="2.7"/>
    <s v="No"/>
    <n v="894.63"/>
    <x v="2"/>
    <n v="10"/>
  </r>
  <r>
    <s v="1298"/>
    <d v="2026-02-04T00:00:00"/>
    <d v="1899-12-30T17:17:00"/>
    <x v="3"/>
    <x v="3"/>
    <s v="Patient 1298"/>
    <n v="16"/>
    <s v="FEMALE"/>
    <s v="Private"/>
    <n v="104"/>
    <x v="7"/>
    <m/>
    <s v="No"/>
    <n v="1556.21"/>
    <x v="2"/>
    <n v="6"/>
  </r>
  <r>
    <s v="1310"/>
    <d v="2026-02-05T00:00:00"/>
    <d v="1899-12-30T12:42:00"/>
    <x v="2"/>
    <x v="2"/>
    <s v="Patient 1310"/>
    <n v="19"/>
    <s v="FEMALE"/>
    <s v="Private"/>
    <n v="10"/>
    <x v="69"/>
    <n v="4.5"/>
    <s v="No"/>
    <n v="686.45"/>
    <x v="1"/>
    <n v="5"/>
  </r>
  <r>
    <s v="1307"/>
    <d v="2026-02-05T00:00:00"/>
    <d v="1899-12-30T17:12:00"/>
    <x v="4"/>
    <x v="4"/>
    <s v="Patient 1307"/>
    <n v="54"/>
    <s v="MALE"/>
    <s v="Medicaid"/>
    <n v="68"/>
    <x v="25"/>
    <n v="2.9"/>
    <s v="No"/>
    <n v="802.97"/>
    <x v="2"/>
    <n v="9"/>
  </r>
  <r>
    <s v="1304"/>
    <d v="2026-02-05T00:00:00"/>
    <d v="1899-12-30T12:24:00"/>
    <x v="4"/>
    <x v="4"/>
    <s v="Patient 1304"/>
    <n v="31"/>
    <s v="MALE"/>
    <s v="Private"/>
    <n v="60"/>
    <x v="47"/>
    <n v="3.3"/>
    <s v="No"/>
    <n v="1038.51"/>
    <x v="1"/>
    <n v="5"/>
  </r>
  <r>
    <s v="1306"/>
    <d v="2026-02-05T00:00:00"/>
    <d v="1899-12-30T18:27:00"/>
    <x v="4"/>
    <x v="4"/>
    <s v="Patient 1306"/>
    <n v="26"/>
    <s v="FEMALE"/>
    <s v="Medicaid"/>
    <n v="60"/>
    <x v="47"/>
    <n v="3.8"/>
    <s v="No"/>
    <n v="978.39"/>
    <x v="2"/>
    <n v="9"/>
  </r>
  <r>
    <s v="1309"/>
    <d v="2026-02-05T00:00:00"/>
    <d v="1899-12-30T15:09:00"/>
    <x v="4"/>
    <x v="4"/>
    <s v="Patient 1309"/>
    <n v="30"/>
    <s v="MALE"/>
    <s v="Medicaid"/>
    <n v="29"/>
    <x v="58"/>
    <m/>
    <s v="No"/>
    <m/>
    <x v="2"/>
    <n v="9"/>
  </r>
  <r>
    <s v="1308"/>
    <d v="2026-02-05T00:00:00"/>
    <d v="1899-12-30T12:47:00"/>
    <x v="0"/>
    <x v="0"/>
    <s v="Patient 1308"/>
    <n v="45"/>
    <s v="FEMALE"/>
    <s v="Medicaid"/>
    <n v="31"/>
    <x v="51"/>
    <n v="4"/>
    <s v="Yes"/>
    <n v="2214.59"/>
    <x v="1"/>
    <n v="11"/>
  </r>
  <r>
    <s v="1305"/>
    <d v="2026-02-05T00:00:00"/>
    <d v="1899-12-30T10:27:00"/>
    <x v="4"/>
    <x v="4"/>
    <s v="Patient 1305"/>
    <n v="54"/>
    <s v="MALE"/>
    <s v="Medicare"/>
    <n v="68"/>
    <x v="38"/>
    <n v="3"/>
    <s v="No"/>
    <n v="306.23"/>
    <x v="1"/>
    <n v="5"/>
  </r>
  <r>
    <s v="1311"/>
    <d v="2026-02-06T00:00:00"/>
    <d v="1899-12-30T18:21:00"/>
    <x v="2"/>
    <x v="2"/>
    <s v="Patient 1311"/>
    <n v="78"/>
    <s v="MALE"/>
    <s v="Medicaid"/>
    <n v="40"/>
    <x v="12"/>
    <n v="3.3"/>
    <m/>
    <n v="371.71"/>
    <x v="2"/>
    <n v="4"/>
  </r>
  <r>
    <s v="1316"/>
    <d v="2026-02-06T00:00:00"/>
    <d v="1899-12-30T18:41:00"/>
    <x v="2"/>
    <x v="2"/>
    <s v="Patient 1316"/>
    <n v="38"/>
    <s v="FEMALE"/>
    <s v="Medicaid"/>
    <n v="41"/>
    <x v="25"/>
    <n v="4"/>
    <s v="No"/>
    <n v="631.01"/>
    <x v="2"/>
    <n v="4"/>
  </r>
  <r>
    <s v="1315"/>
    <d v="2026-02-06T00:00:00"/>
    <d v="1899-12-30T13:01:00"/>
    <x v="0"/>
    <x v="0"/>
    <s v="Patient 1315"/>
    <n v="31"/>
    <s v="MALE"/>
    <s v="Private"/>
    <n v="43"/>
    <x v="92"/>
    <n v="2.5"/>
    <s v="No"/>
    <n v="3433.32"/>
    <x v="1"/>
    <n v="11"/>
  </r>
  <r>
    <s v="1313"/>
    <d v="2026-02-06T00:00:00"/>
    <d v="1899-12-30T10:41:00"/>
    <x v="4"/>
    <x v="4"/>
    <s v="Patient 1313"/>
    <n v="39"/>
    <s v="FEMALE"/>
    <s v="Medicaid"/>
    <n v="39"/>
    <x v="12"/>
    <n v="4.7"/>
    <m/>
    <n v="602.04"/>
    <x v="1"/>
    <n v="7"/>
  </r>
  <r>
    <s v="1314"/>
    <d v="2026-02-06T00:00:00"/>
    <d v="1899-12-30T17:44:00"/>
    <x v="2"/>
    <x v="2"/>
    <s v="Patient 1314"/>
    <n v="57"/>
    <s v="MALE"/>
    <s v="Uninsured"/>
    <n v="69"/>
    <x v="40"/>
    <n v="3.5"/>
    <s v="Yes"/>
    <n v="564.35"/>
    <x v="2"/>
    <n v="4"/>
  </r>
  <r>
    <s v="1312"/>
    <d v="2026-02-06T00:00:00"/>
    <d v="1899-12-30T14:45:00"/>
    <x v="1"/>
    <x v="1"/>
    <s v="Patient 1312"/>
    <n v="47"/>
    <s v="MALE"/>
    <s v="Private"/>
    <n v="36"/>
    <x v="41"/>
    <n v="3.7"/>
    <s v="No"/>
    <n v="2018"/>
    <x v="1"/>
    <n v="6"/>
  </r>
  <r>
    <s v="1320"/>
    <d v="2026-02-07T00:00:00"/>
    <d v="1899-12-30T15:55:00"/>
    <x v="2"/>
    <x v="2"/>
    <s v="Patient 1320"/>
    <n v="38"/>
    <s v="FEMALE"/>
    <s v="Medicare"/>
    <n v="27"/>
    <x v="81"/>
    <n v="4.3"/>
    <s v="Yes"/>
    <m/>
    <x v="2"/>
    <n v="2"/>
  </r>
  <r>
    <s v="1318"/>
    <d v="2026-02-07T00:00:00"/>
    <d v="1899-12-30T15:25:00"/>
    <x v="0"/>
    <x v="0"/>
    <s v="Patient 1318"/>
    <n v="69"/>
    <s v="FEMALE"/>
    <s v="Private"/>
    <n v="82"/>
    <x v="93"/>
    <n v="3.8"/>
    <s v="No"/>
    <n v="2780.55"/>
    <x v="2"/>
    <n v="6"/>
  </r>
  <r>
    <s v="1317"/>
    <d v="2026-02-07T00:00:00"/>
    <d v="1899-12-30T16:28:00"/>
    <x v="4"/>
    <x v="4"/>
    <s v="Patient 1317"/>
    <n v="22"/>
    <s v="FEMALE"/>
    <s v="Private"/>
    <n v="123"/>
    <x v="30"/>
    <n v="1.9"/>
    <s v="No"/>
    <n v="876.71"/>
    <x v="2"/>
    <n v="7"/>
  </r>
  <r>
    <s v="1324"/>
    <d v="2026-02-07T00:00:00"/>
    <d v="1899-12-30T15:22:00"/>
    <x v="0"/>
    <x v="0"/>
    <s v="Patient 1324"/>
    <n v="1"/>
    <s v="FEMALE"/>
    <s v="Medicaid"/>
    <n v="74"/>
    <x v="39"/>
    <n v="3.7"/>
    <s v="No"/>
    <n v="4060.03"/>
    <x v="2"/>
    <n v="6"/>
  </r>
  <r>
    <s v="1323"/>
    <d v="2026-02-07T00:00:00"/>
    <d v="1899-12-30T15:44:00"/>
    <x v="1"/>
    <x v="1"/>
    <s v="Patient 1323"/>
    <n v="35"/>
    <s v="MALE"/>
    <s v="Private"/>
    <n v="30"/>
    <x v="50"/>
    <n v="3.4"/>
    <s v="No"/>
    <n v="1213.4000000000001"/>
    <x v="2"/>
    <n v="4"/>
  </r>
  <r>
    <s v="1319"/>
    <d v="2026-02-07T00:00:00"/>
    <d v="1899-12-30T15:21:00"/>
    <x v="4"/>
    <x v="4"/>
    <s v="Patient 1319"/>
    <n v="60"/>
    <s v="FEMALE"/>
    <s v="Uninsured"/>
    <n v="46"/>
    <x v="20"/>
    <n v="4.5"/>
    <s v="No"/>
    <n v="1075.6300000000001"/>
    <x v="2"/>
    <n v="7"/>
  </r>
  <r>
    <s v="1321"/>
    <d v="2026-02-07T00:00:00"/>
    <d v="1899-12-30T07:18:00"/>
    <x v="3"/>
    <x v="3"/>
    <s v="Patient 1321"/>
    <n v="12"/>
    <s v="FEMALE"/>
    <s v="Medicare"/>
    <n v="60"/>
    <x v="64"/>
    <m/>
    <s v="Yes"/>
    <n v="614.71"/>
    <x v="1"/>
    <n v="6"/>
  </r>
  <r>
    <s v="1322"/>
    <d v="2026-02-07T00:00:00"/>
    <d v="1899-12-30T15:52:00"/>
    <x v="3"/>
    <x v="3"/>
    <s v="Patient 1322"/>
    <n v="70"/>
    <s v="MALE"/>
    <s v="Medicare"/>
    <n v="65"/>
    <x v="46"/>
    <n v="3.5"/>
    <s v="No"/>
    <n v="1349.06"/>
    <x v="2"/>
    <n v="5"/>
  </r>
  <r>
    <s v="1333"/>
    <d v="2026-02-08T00:00:00"/>
    <d v="1899-12-30T11:58:00"/>
    <x v="4"/>
    <x v="4"/>
    <s v="Patient 1333"/>
    <n v="51"/>
    <s v="MALE"/>
    <s v="Private"/>
    <n v="56"/>
    <x v="12"/>
    <n v="2.2999999999999998"/>
    <s v="No"/>
    <n v="607.61"/>
    <x v="1"/>
    <n v="7"/>
  </r>
  <r>
    <s v="1332"/>
    <d v="2026-02-08T00:00:00"/>
    <d v="1899-12-30T09:08:00"/>
    <x v="2"/>
    <x v="2"/>
    <s v="Patient 1332"/>
    <n v="72"/>
    <s v="FEMALE"/>
    <s v="Uninsured"/>
    <n v="27"/>
    <x v="4"/>
    <n v="4.5999999999999996"/>
    <s v="No"/>
    <n v="558.72"/>
    <x v="1"/>
    <n v="3"/>
  </r>
  <r>
    <s v="1328"/>
    <d v="2026-02-08T00:00:00"/>
    <d v="1899-12-30T17:32:00"/>
    <x v="4"/>
    <x v="4"/>
    <s v="Patient 1328"/>
    <n v="9"/>
    <s v="FEMALE"/>
    <s v="Medicare"/>
    <n v="71"/>
    <x v="94"/>
    <n v="3.1"/>
    <s v="Yes"/>
    <n v="771.03"/>
    <x v="2"/>
    <n v="7"/>
  </r>
  <r>
    <s v="1336"/>
    <d v="2026-02-08T00:00:00"/>
    <d v="1899-12-30T18:16:00"/>
    <x v="2"/>
    <x v="2"/>
    <s v="Patient 1336"/>
    <n v="59"/>
    <s v="FEMALE"/>
    <s v="Medicare"/>
    <n v="51"/>
    <x v="5"/>
    <n v="3.4"/>
    <s v="No"/>
    <n v="734.48"/>
    <x v="2"/>
    <n v="4"/>
  </r>
  <r>
    <s v="1334"/>
    <d v="2026-02-08T00:00:00"/>
    <d v="1899-12-30T11:32:00"/>
    <x v="4"/>
    <x v="4"/>
    <s v="Patient 1334"/>
    <n v="42"/>
    <s v="FEMALE"/>
    <s v="Private"/>
    <n v="36"/>
    <x v="20"/>
    <n v="4.0999999999999996"/>
    <s v="No"/>
    <n v="1090.55"/>
    <x v="1"/>
    <n v="7"/>
  </r>
  <r>
    <s v="1329"/>
    <d v="2026-02-08T00:00:00"/>
    <d v="1899-12-30T10:42:00"/>
    <x v="4"/>
    <x v="4"/>
    <s v="Patient 1329"/>
    <n v="22"/>
    <s v="MALE"/>
    <s v="Medicaid"/>
    <n v="66"/>
    <x v="83"/>
    <n v="3.8"/>
    <s v="No"/>
    <n v="1090.3"/>
    <x v="1"/>
    <n v="7"/>
  </r>
  <r>
    <s v="1327"/>
    <d v="2026-02-08T00:00:00"/>
    <d v="1899-12-30T17:27:00"/>
    <x v="2"/>
    <x v="2"/>
    <s v="Patient 1327"/>
    <n v="45"/>
    <s v="MALE"/>
    <s v="Private"/>
    <n v="61"/>
    <x v="12"/>
    <n v="3.4"/>
    <s v="No"/>
    <n v="829.46"/>
    <x v="2"/>
    <n v="4"/>
  </r>
  <r>
    <s v="1335"/>
    <d v="2026-02-08T00:00:00"/>
    <d v="1899-12-30T11:25:00"/>
    <x v="2"/>
    <x v="2"/>
    <s v="Patient 1335"/>
    <n v="45"/>
    <s v="FEMALE"/>
    <s v="Private"/>
    <n v="71"/>
    <x v="12"/>
    <n v="3.3"/>
    <s v="No"/>
    <n v="606.08000000000004"/>
    <x v="1"/>
    <n v="3"/>
  </r>
  <r>
    <s v="1331"/>
    <d v="2026-02-08T00:00:00"/>
    <d v="1899-12-30T17:51:00"/>
    <x v="3"/>
    <x v="3"/>
    <s v="Patient 1331"/>
    <n v="35"/>
    <s v="MALE"/>
    <s v="Medicaid"/>
    <n v="68"/>
    <x v="53"/>
    <n v="3.5"/>
    <s v="No"/>
    <n v="1166.08"/>
    <x v="2"/>
    <n v="5"/>
  </r>
  <r>
    <s v="1326"/>
    <d v="2026-02-08T00:00:00"/>
    <d v="1899-12-30T20:38:00"/>
    <x v="4"/>
    <x v="4"/>
    <s v="Patient 1326"/>
    <n v="57"/>
    <s v="MALE"/>
    <s v="Medicare"/>
    <n v="77"/>
    <x v="23"/>
    <m/>
    <s v="No"/>
    <n v="656.78"/>
    <x v="2"/>
    <n v="7"/>
  </r>
  <r>
    <s v="1325"/>
    <d v="2026-02-08T00:00:00"/>
    <d v="1899-12-30T13:15:00"/>
    <x v="4"/>
    <x v="4"/>
    <s v="Patient 1325"/>
    <n v="21"/>
    <s v="MALE"/>
    <s v="Medicare"/>
    <n v="66"/>
    <x v="4"/>
    <n v="2.9"/>
    <s v="No"/>
    <n v="703.88"/>
    <x v="1"/>
    <n v="7"/>
  </r>
  <r>
    <s v="1330"/>
    <d v="2026-02-08T00:00:00"/>
    <d v="1899-12-30T10:06:00"/>
    <x v="0"/>
    <x v="0"/>
    <s v="Patient 1330"/>
    <n v="56"/>
    <s v="FEMALE"/>
    <s v="Uninsured"/>
    <n v="63"/>
    <x v="95"/>
    <n v="2.2999999999999998"/>
    <s v="Yes"/>
    <n v="2302.02"/>
    <x v="1"/>
    <n v="7"/>
  </r>
  <r>
    <s v="1340"/>
    <d v="2026-02-09T00:00:00"/>
    <d v="1899-12-30T11:12:00"/>
    <x v="4"/>
    <x v="4"/>
    <s v="Patient 1340"/>
    <n v="49"/>
    <s v="MALE"/>
    <s v="Medicare"/>
    <n v="28"/>
    <x v="64"/>
    <n v="3.8"/>
    <s v="No"/>
    <n v="902.04"/>
    <x v="1"/>
    <n v="8"/>
  </r>
  <r>
    <s v="1338"/>
    <d v="2026-02-09T00:00:00"/>
    <d v="1899-12-30T08:17:00"/>
    <x v="4"/>
    <x v="4"/>
    <s v="Patient 1338"/>
    <n v="71"/>
    <s v="FEMALE"/>
    <s v="Medicare"/>
    <n v="53"/>
    <x v="17"/>
    <n v="4.3"/>
    <s v="No"/>
    <n v="491.03"/>
    <x v="1"/>
    <n v="8"/>
  </r>
  <r>
    <s v="1337"/>
    <d v="2026-02-09T00:00:00"/>
    <d v="1899-12-30T09:06:00"/>
    <x v="2"/>
    <x v="2"/>
    <s v="Patient 1337"/>
    <n v="31"/>
    <s v="FEMALE"/>
    <s v="Medicare"/>
    <n v="44"/>
    <x v="76"/>
    <n v="3.5"/>
    <s v="No"/>
    <n v="313.92"/>
    <x v="1"/>
    <n v="5"/>
  </r>
  <r>
    <s v="1343"/>
    <d v="2026-02-09T00:00:00"/>
    <d v="1899-12-30T13:13:00"/>
    <x v="0"/>
    <x v="0"/>
    <s v="Patient 1343"/>
    <n v="47"/>
    <s v="MALE"/>
    <s v="Medicaid"/>
    <n v="30"/>
    <x v="92"/>
    <m/>
    <s v="No"/>
    <n v="1475.36"/>
    <x v="1"/>
    <n v="9"/>
  </r>
  <r>
    <s v="1339"/>
    <d v="2026-02-09T00:00:00"/>
    <d v="1899-12-30T23:25:00"/>
    <x v="4"/>
    <x v="4"/>
    <s v="Patient 1339"/>
    <n v="58"/>
    <s v="MALE"/>
    <s v="Medicaid"/>
    <n v="52"/>
    <x v="4"/>
    <n v="2.6"/>
    <s v="No"/>
    <n v="889.71"/>
    <x v="2"/>
    <n v="8"/>
  </r>
  <r>
    <s v="1342"/>
    <d v="2026-02-09T00:00:00"/>
    <d v="1899-12-30T13:00:00"/>
    <x v="2"/>
    <x v="2"/>
    <s v="Patient 1342"/>
    <n v="49"/>
    <s v="FEMALE"/>
    <s v="Uninsured"/>
    <n v="10"/>
    <x v="4"/>
    <n v="4.5"/>
    <s v="No"/>
    <n v="910.98"/>
    <x v="1"/>
    <n v="5"/>
  </r>
  <r>
    <s v="1341"/>
    <d v="2026-02-09T00:00:00"/>
    <d v="1899-12-30T20:07:00"/>
    <x v="1"/>
    <x v="1"/>
    <s v="Patient 1341"/>
    <n v="46"/>
    <s v="MALE"/>
    <s v="Private"/>
    <n v="65"/>
    <x v="45"/>
    <n v="4.5"/>
    <s v="No"/>
    <n v="1710.25"/>
    <x v="2"/>
    <n v="3"/>
  </r>
  <r>
    <s v="1346"/>
    <d v="2026-02-10T00:00:00"/>
    <d v="1899-12-30T09:58:00"/>
    <x v="4"/>
    <x v="4"/>
    <s v="Patient 1346"/>
    <n v="44"/>
    <s v="FEMALE"/>
    <s v="Uninsured"/>
    <n v="58"/>
    <x v="4"/>
    <n v="3.8"/>
    <s v="Yes"/>
    <n v="728.56"/>
    <x v="1"/>
    <n v="5"/>
  </r>
  <r>
    <s v="1345"/>
    <d v="2026-02-10T00:00:00"/>
    <d v="1899-12-30T17:07:00"/>
    <x v="2"/>
    <x v="2"/>
    <s v="Patient 1345"/>
    <n v="2"/>
    <s v="FEMALE"/>
    <s v="Medicaid"/>
    <n v="74"/>
    <x v="38"/>
    <n v="3.4"/>
    <s v="Yes"/>
    <n v="816.15"/>
    <x v="2"/>
    <n v="5"/>
  </r>
  <r>
    <s v="1347"/>
    <d v="2026-02-10T00:00:00"/>
    <d v="1899-12-30T08:39:00"/>
    <x v="2"/>
    <x v="2"/>
    <s v="Patient 1347"/>
    <n v="57"/>
    <s v="FEMALE"/>
    <s v="Private"/>
    <n v="33"/>
    <x v="25"/>
    <n v="3.4"/>
    <s v="No"/>
    <n v="690.79"/>
    <x v="1"/>
    <n v="8"/>
  </r>
  <r>
    <s v="1350"/>
    <d v="2026-02-10T00:00:00"/>
    <d v="1899-12-30T16:08:00"/>
    <x v="1"/>
    <x v="1"/>
    <s v="Patient 1350"/>
    <n v="60"/>
    <s v="FEMALE"/>
    <s v="Medicaid"/>
    <n v="51"/>
    <x v="53"/>
    <n v="3.5"/>
    <s v="No"/>
    <n v="1657.64"/>
    <x v="2"/>
    <n v="5"/>
  </r>
  <r>
    <s v="1348"/>
    <d v="2026-02-10T00:00:00"/>
    <d v="1899-12-30T18:36:00"/>
    <x v="4"/>
    <x v="4"/>
    <s v="Patient 1348"/>
    <n v="34"/>
    <s v="MALE"/>
    <s v="Medicaid"/>
    <n v="62"/>
    <x v="78"/>
    <n v="4.2"/>
    <s v="No"/>
    <n v="1146.46"/>
    <x v="2"/>
    <n v="11"/>
  </r>
  <r>
    <s v="1349"/>
    <d v="2026-02-10T00:00:00"/>
    <d v="1899-12-30T17:17:00"/>
    <x v="4"/>
    <x v="4"/>
    <s v="Patient 1349"/>
    <n v="71"/>
    <s v="FEMALE"/>
    <s v="Private"/>
    <n v="73"/>
    <x v="25"/>
    <m/>
    <s v="No"/>
    <n v="477.91"/>
    <x v="2"/>
    <n v="11"/>
  </r>
  <r>
    <s v="1344"/>
    <d v="2026-02-10T00:00:00"/>
    <d v="1899-12-30T07:18:00"/>
    <x v="0"/>
    <x v="0"/>
    <s v="Patient 1344"/>
    <n v="58"/>
    <s v="MALE"/>
    <s v="Uninsured"/>
    <n v="32"/>
    <x v="96"/>
    <n v="3.2"/>
    <s v="No"/>
    <n v="2587.88"/>
    <x v="1"/>
    <n v="10"/>
  </r>
  <r>
    <s v="1356"/>
    <d v="2026-02-11T00:00:00"/>
    <d v="1899-12-30T20:20:00"/>
    <x v="4"/>
    <x v="4"/>
    <s v="Patient 1356"/>
    <n v="57"/>
    <s v="FEMALE"/>
    <s v="Private"/>
    <n v="51"/>
    <x v="4"/>
    <n v="4.3"/>
    <s v="No"/>
    <n v="1049.42"/>
    <x v="2"/>
    <n v="8"/>
  </r>
  <r>
    <s v="1353"/>
    <d v="2026-02-11T00:00:00"/>
    <d v="1899-12-30T20:22:00"/>
    <x v="2"/>
    <x v="2"/>
    <s v="Patient 1353"/>
    <n v="19"/>
    <s v="FEMALE"/>
    <s v="Medicaid"/>
    <n v="40"/>
    <x v="94"/>
    <n v="4.5"/>
    <s v="No"/>
    <n v="599.97"/>
    <x v="2"/>
    <n v="6"/>
  </r>
  <r>
    <s v="1360"/>
    <d v="2026-02-11T00:00:00"/>
    <d v="1899-12-30T16:34:00"/>
    <x v="4"/>
    <x v="4"/>
    <s v="Patient 1360"/>
    <n v="8"/>
    <s v="FEMALE"/>
    <s v="Uninsured"/>
    <n v="44"/>
    <x v="57"/>
    <n v="4"/>
    <s v="No"/>
    <n v="520.34"/>
    <x v="2"/>
    <n v="8"/>
  </r>
  <r>
    <s v="1351"/>
    <d v="2026-02-11T00:00:00"/>
    <d v="1899-12-30T21:51:00"/>
    <x v="0"/>
    <x v="0"/>
    <s v="Patient 1351"/>
    <n v="68"/>
    <s v="MALE"/>
    <s v="Private"/>
    <n v="75"/>
    <x v="77"/>
    <n v="3.4"/>
    <s v="No"/>
    <n v="1988.29"/>
    <x v="2"/>
    <n v="4"/>
  </r>
  <r>
    <s v="1357"/>
    <d v="2026-02-11T00:00:00"/>
    <d v="1899-12-30T04:49:00"/>
    <x v="4"/>
    <x v="4"/>
    <s v="Patient 1357"/>
    <n v="34"/>
    <s v="FEMALE"/>
    <s v="Uninsured"/>
    <n v="45"/>
    <x v="5"/>
    <n v="4.5999999999999996"/>
    <s v="No"/>
    <n v="887.74"/>
    <x v="0"/>
    <n v="7"/>
  </r>
  <r>
    <s v="1358"/>
    <d v="2026-02-11T00:00:00"/>
    <d v="1899-12-30T17:09:00"/>
    <x v="4"/>
    <x v="4"/>
    <s v="Patient 1358"/>
    <n v="73"/>
    <s v="FEMALE"/>
    <s v="Medicare"/>
    <n v="62"/>
    <x v="41"/>
    <m/>
    <s v="No"/>
    <n v="485.74"/>
    <x v="2"/>
    <n v="8"/>
  </r>
  <r>
    <s v="1355"/>
    <d v="2026-02-11T00:00:00"/>
    <d v="1899-12-30T16:08:00"/>
    <x v="0"/>
    <x v="0"/>
    <s v="Patient 1355"/>
    <n v="43"/>
    <s v="MALE"/>
    <s v="Private"/>
    <n v="105"/>
    <x v="97"/>
    <n v="1.9"/>
    <s v="No"/>
    <n v="2096.75"/>
    <x v="2"/>
    <n v="4"/>
  </r>
  <r>
    <s v="1354"/>
    <d v="2026-02-11T00:00:00"/>
    <d v="1899-12-30T17:22:00"/>
    <x v="1"/>
    <x v="1"/>
    <s v="Patient 1354"/>
    <n v="43"/>
    <s v="FEMALE"/>
    <s v="Medicare"/>
    <n v="44"/>
    <x v="36"/>
    <n v="3.5"/>
    <s v="No"/>
    <n v="2391.52"/>
    <x v="2"/>
    <n v="5"/>
  </r>
  <r>
    <s v="1356"/>
    <d v="2026-02-11T00:00:00"/>
    <d v="1899-12-30T20:20:00"/>
    <x v="4"/>
    <x v="4"/>
    <s v="Patient 1356"/>
    <n v="57"/>
    <s v="FEMALE"/>
    <s v="Private"/>
    <n v="51"/>
    <x v="4"/>
    <n v="4.3"/>
    <s v="No"/>
    <n v="1049.42"/>
    <x v="2"/>
    <n v="8"/>
  </r>
  <r>
    <s v="1359"/>
    <d v="2026-02-11T00:00:00"/>
    <d v="1899-12-30T10:56:00"/>
    <x v="4"/>
    <x v="4"/>
    <s v="Patient 1359"/>
    <n v="150"/>
    <s v="FEMALE"/>
    <s v="Medicaid"/>
    <n v="54"/>
    <x v="9"/>
    <n v="3.6"/>
    <s v="No"/>
    <n v="729.41"/>
    <x v="1"/>
    <n v="7"/>
  </r>
  <r>
    <s v="1352"/>
    <d v="2026-02-11T00:00:00"/>
    <d v="1899-12-30T09:14:00"/>
    <x v="3"/>
    <x v="3"/>
    <s v="Patient 1352"/>
    <n v="16"/>
    <s v="FEMALE"/>
    <s v="Medicaid"/>
    <n v="67"/>
    <x v="22"/>
    <m/>
    <s v="No"/>
    <n v="1737.84"/>
    <x v="1"/>
    <n v="4"/>
  </r>
  <r>
    <s v="1367"/>
    <d v="2026-02-12T00:00:00"/>
    <d v="1899-12-30T18:05:00"/>
    <x v="4"/>
    <x v="4"/>
    <s v="Patient 1367"/>
    <n v="4"/>
    <s v="MALE"/>
    <s v="Medicare"/>
    <n v="61"/>
    <x v="98"/>
    <n v="3.4"/>
    <s v="No"/>
    <n v="785.61"/>
    <x v="2"/>
    <n v="12"/>
  </r>
  <r>
    <s v="1365"/>
    <d v="2026-02-12T00:00:00"/>
    <d v="1899-12-30T19:37:00"/>
    <x v="4"/>
    <x v="4"/>
    <s v="Patient 1365"/>
    <n v="19"/>
    <s v="MALE"/>
    <s v="Medicaid"/>
    <n v="40"/>
    <x v="31"/>
    <n v="5"/>
    <s v="No"/>
    <n v="694.57"/>
    <x v="2"/>
    <n v="12"/>
  </r>
  <r>
    <s v="1363"/>
    <d v="2026-02-12T00:00:00"/>
    <d v="1899-12-30T06:02:00"/>
    <x v="4"/>
    <x v="4"/>
    <s v="Patient 1363"/>
    <n v="29"/>
    <s v="MALE"/>
    <s v="Medicare"/>
    <n v="43"/>
    <x v="12"/>
    <n v="3.3"/>
    <s v="No"/>
    <n v="1303.6300000000001"/>
    <x v="0"/>
    <n v="6"/>
  </r>
  <r>
    <s v="1371"/>
    <d v="2026-02-12T00:00:00"/>
    <d v="1899-12-30T19:11:00"/>
    <x v="4"/>
    <x v="4"/>
    <s v="Patient 1371"/>
    <n v="20"/>
    <s v="MALE"/>
    <s v="Medicaid"/>
    <n v="41"/>
    <x v="41"/>
    <n v="3.4"/>
    <s v="No"/>
    <n v="1107.31"/>
    <x v="2"/>
    <n v="12"/>
  </r>
  <r>
    <s v="1364"/>
    <d v="2026-02-12T00:00:00"/>
    <d v="1899-12-30T16:47:00"/>
    <x v="2"/>
    <x v="2"/>
    <s v="Patient 1364"/>
    <n v="66"/>
    <s v="MALE"/>
    <s v="Uninsured"/>
    <n v="54"/>
    <x v="7"/>
    <n v="2.8"/>
    <s v="No"/>
    <n v="715.34"/>
    <x v="2"/>
    <n v="4"/>
  </r>
  <r>
    <s v="1361"/>
    <d v="2026-02-12T00:00:00"/>
    <d v="1899-12-30T05:13:00"/>
    <x v="1"/>
    <x v="1"/>
    <s v="Patient 1361"/>
    <n v="67"/>
    <s v="FEMALE"/>
    <s v="Medicare"/>
    <n v="6"/>
    <x v="99"/>
    <n v="3.1"/>
    <s v="No"/>
    <n v="1417.11"/>
    <x v="0"/>
    <n v="5"/>
  </r>
  <r>
    <s v="1370"/>
    <d v="2026-02-12T00:00:00"/>
    <d v="1899-12-30T12:57:00"/>
    <x v="2"/>
    <x v="2"/>
    <s v="Patient 1370"/>
    <n v="62"/>
    <s v="MALE"/>
    <s v="Medicare"/>
    <n v="20"/>
    <x v="16"/>
    <n v="3.4"/>
    <s v="Yes"/>
    <n v="778.64"/>
    <x v="1"/>
    <n v="6"/>
  </r>
  <r>
    <s v="1366"/>
    <d v="2026-02-12T00:00:00"/>
    <d v="1899-12-30T15:26:00"/>
    <x v="4"/>
    <x v="4"/>
    <s v="Patient 1366"/>
    <n v="31"/>
    <s v="FEMALE"/>
    <s v="Private"/>
    <n v="13"/>
    <x v="7"/>
    <n v="3.8"/>
    <s v="Yes"/>
    <n v="1116.8800000000001"/>
    <x v="2"/>
    <n v="12"/>
  </r>
  <r>
    <s v="1368"/>
    <d v="2026-02-12T00:00:00"/>
    <d v="1899-12-30T19:03:00"/>
    <x v="0"/>
    <x v="0"/>
    <s v="Patient 1368"/>
    <n v="39"/>
    <s v="FEMALE"/>
    <s v="Medicaid"/>
    <n v="69"/>
    <x v="88"/>
    <n v="3.5"/>
    <s v="No"/>
    <n v="3339.8"/>
    <x v="2"/>
    <n v="7"/>
  </r>
  <r>
    <s v="1369"/>
    <d v="2026-02-12T00:00:00"/>
    <d v="1899-12-30T13:20:00"/>
    <x v="2"/>
    <x v="2"/>
    <s v="Patient 1369"/>
    <n v="37"/>
    <s v="MALE"/>
    <s v="Medicaid"/>
    <n v="18"/>
    <x v="79"/>
    <n v="3.5"/>
    <s v="No"/>
    <n v="609.67999999999995"/>
    <x v="1"/>
    <n v="6"/>
  </r>
  <r>
    <s v="1362"/>
    <d v="2026-02-12T00:00:00"/>
    <d v="1899-12-30T19:30:00"/>
    <x v="4"/>
    <x v="4"/>
    <s v="Patient 1362"/>
    <n v="1"/>
    <s v="FEMALE"/>
    <s v="Medicare"/>
    <n v="43"/>
    <x v="25"/>
    <n v="4"/>
    <s v="Yes"/>
    <n v="802.11"/>
    <x v="2"/>
    <n v="12"/>
  </r>
  <r>
    <s v="1376"/>
    <d v="2026-02-13T00:00:00"/>
    <d v="1899-12-30T22:23:00"/>
    <x v="3"/>
    <x v="3"/>
    <s v="Patient 1376"/>
    <n v="31"/>
    <s v="MALE"/>
    <s v="Medicare"/>
    <n v="90"/>
    <x v="54"/>
    <n v="3.9"/>
    <s v="No"/>
    <n v="1577.86"/>
    <x v="2"/>
    <n v="5"/>
  </r>
  <r>
    <s v="1377"/>
    <d v="2026-02-13T00:00:00"/>
    <d v="1899-12-30T07:36:00"/>
    <x v="2"/>
    <x v="2"/>
    <s v="Patient 1377"/>
    <n v="64"/>
    <s v="FEMALE"/>
    <s v="Medicare"/>
    <n v="19"/>
    <x v="49"/>
    <n v="3.5"/>
    <s v="No"/>
    <n v="851.52"/>
    <x v="1"/>
    <n v="6"/>
  </r>
  <r>
    <s v="1379"/>
    <d v="2026-02-13T00:00:00"/>
    <d v="1899-12-30T13:50:00"/>
    <x v="2"/>
    <x v="2"/>
    <s v="Patient 1379"/>
    <n v="61"/>
    <s v="MALE"/>
    <s v="Medicare"/>
    <n v="43"/>
    <x v="37"/>
    <n v="5"/>
    <s v="No"/>
    <n v="668.27"/>
    <x v="1"/>
    <n v="6"/>
  </r>
  <r>
    <s v="1373"/>
    <d v="2026-02-13T00:00:00"/>
    <d v="1899-12-30T18:45:00"/>
    <x v="0"/>
    <x v="0"/>
    <s v="Patient 1373"/>
    <n v="69"/>
    <s v="FEMALE"/>
    <s v="Medicare"/>
    <n v="76"/>
    <x v="59"/>
    <n v="2.8"/>
    <s v="No"/>
    <n v="2906.56"/>
    <x v="2"/>
    <n v="6"/>
  </r>
  <r>
    <s v="1375"/>
    <d v="2026-02-13T00:00:00"/>
    <d v="1899-12-30T01:55:00"/>
    <x v="4"/>
    <x v="4"/>
    <s v="Patient 1375"/>
    <n v="42"/>
    <s v="FEMALE"/>
    <s v="Uninsured"/>
    <n v="46"/>
    <x v="62"/>
    <n v="4.4000000000000004"/>
    <s v="No"/>
    <n v="653.1"/>
    <x v="0"/>
    <n v="7"/>
  </r>
  <r>
    <s v="1376"/>
    <d v="2026-02-13T00:00:00"/>
    <d v="1899-12-30T22:23:00"/>
    <x v="3"/>
    <x v="3"/>
    <s v="Patient 1376"/>
    <n v="31"/>
    <s v="MALE"/>
    <s v="Medicare"/>
    <n v="90"/>
    <x v="54"/>
    <n v="3.9"/>
    <s v="No"/>
    <n v="1577.86"/>
    <x v="2"/>
    <n v="5"/>
  </r>
  <r>
    <s v="1374"/>
    <d v="2026-02-13T00:00:00"/>
    <d v="1899-12-30T14:30:00"/>
    <x v="2"/>
    <x v="2"/>
    <s v="Patient 1374"/>
    <n v="64"/>
    <s v="FEMALE"/>
    <s v="Private"/>
    <n v="21"/>
    <x v="44"/>
    <n v="2.4"/>
    <s v="No"/>
    <n v="546.84"/>
    <x v="1"/>
    <n v="6"/>
  </r>
  <r>
    <s v="1378"/>
    <d v="2026-02-13T00:00:00"/>
    <d v="1899-12-30T14:28:00"/>
    <x v="4"/>
    <x v="4"/>
    <s v="Patient 1378"/>
    <n v="35"/>
    <s v="FEMALE"/>
    <s v="Medicaid"/>
    <n v="14"/>
    <x v="94"/>
    <n v="3.9"/>
    <s v="No"/>
    <n v="727.76"/>
    <x v="1"/>
    <n v="5"/>
  </r>
  <r>
    <s v="1372"/>
    <d v="2026-02-13T00:00:00"/>
    <d v="1899-12-30T12:27:00"/>
    <x v="3"/>
    <x v="3"/>
    <s v="Patient 1372"/>
    <n v="63"/>
    <s v="FEMALE"/>
    <s v="Uninsured"/>
    <n v="41"/>
    <x v="12"/>
    <n v="3.3"/>
    <s v="No"/>
    <n v="1191.8800000000001"/>
    <x v="1"/>
    <n v="7"/>
  </r>
  <r>
    <s v="1380"/>
    <d v="2026-02-14T00:00:00"/>
    <d v="1899-12-30T05:26:00"/>
    <x v="1"/>
    <x v="1"/>
    <s v="Patient 1380"/>
    <n v="46"/>
    <s v="FEMALE"/>
    <s v="Medicaid"/>
    <n v="33"/>
    <x v="79"/>
    <m/>
    <s v="Yes"/>
    <n v="2127.71"/>
    <x v="0"/>
    <n v="2"/>
  </r>
  <r>
    <s v="1384"/>
    <d v="2026-02-14T00:00:00"/>
    <d v="1899-12-30T23:01:00"/>
    <x v="1"/>
    <x v="1"/>
    <s v="Patient 1384"/>
    <n v="14"/>
    <s v="MALE"/>
    <s v="Medicaid"/>
    <n v="20"/>
    <x v="81"/>
    <n v="4.8"/>
    <s v="No"/>
    <n v="1677.24"/>
    <x v="2"/>
    <n v="4"/>
  </r>
  <r>
    <s v="1386"/>
    <d v="2026-02-14T00:00:00"/>
    <d v="1899-12-30T21:09:00"/>
    <x v="0"/>
    <x v="0"/>
    <s v="Patient 1386"/>
    <n v="32"/>
    <s v="MALE"/>
    <s v="Uninsured"/>
    <n v="72"/>
    <x v="100"/>
    <n v="3.3"/>
    <s v="No"/>
    <n v="3138.86"/>
    <x v="2"/>
    <n v="5"/>
  </r>
  <r>
    <s v="1385"/>
    <d v="2026-02-14T00:00:00"/>
    <d v="1899-12-30T20:10:00"/>
    <x v="2"/>
    <x v="2"/>
    <s v="Patient 1385"/>
    <n v="65"/>
    <s v="FEMALE"/>
    <s v="Private"/>
    <n v="71"/>
    <x v="81"/>
    <n v="3.5"/>
    <s v="No"/>
    <n v="577.65"/>
    <x v="2"/>
    <n v="2"/>
  </r>
  <r>
    <s v="1382"/>
    <d v="2026-02-14T00:00:00"/>
    <d v="1899-12-30T07:06:00"/>
    <x v="3"/>
    <x v="3"/>
    <s v="Patient 1382"/>
    <n v="46"/>
    <s v="MALE"/>
    <s v="Uninsured"/>
    <n v="46"/>
    <x v="9"/>
    <n v="3.5"/>
    <s v="No"/>
    <n v="1497.55"/>
    <x v="1"/>
    <n v="3"/>
  </r>
  <r>
    <s v="1389"/>
    <d v="2026-02-14T00:00:00"/>
    <d v="1899-12-30T19:36:00"/>
    <x v="0"/>
    <x v="0"/>
    <s v="Patient 1389"/>
    <n v="61"/>
    <s v="FEMALE"/>
    <s v="Medicare"/>
    <n v="90"/>
    <x v="89"/>
    <n v="3.7"/>
    <s v="Yes"/>
    <n v="3657.27"/>
    <x v="2"/>
    <n v="5"/>
  </r>
  <r>
    <s v="1388"/>
    <d v="2026-02-14T00:00:00"/>
    <d v="1899-12-30T11:57:00"/>
    <x v="2"/>
    <x v="2"/>
    <s v="Patient 1388"/>
    <n v="20"/>
    <s v="FEMALE"/>
    <s v="Medicaid"/>
    <n v="47"/>
    <x v="16"/>
    <n v="3.9"/>
    <s v="No"/>
    <n v="633.88"/>
    <x v="1"/>
    <n v="7"/>
  </r>
  <r>
    <s v="1387"/>
    <d v="2026-02-14T00:00:00"/>
    <d v="1899-12-30T11:09:00"/>
    <x v="4"/>
    <x v="4"/>
    <s v="Patient 1387"/>
    <n v="22"/>
    <s v="MALE"/>
    <s v="Medicaid"/>
    <n v="67"/>
    <x v="81"/>
    <n v="4.2"/>
    <s v="No"/>
    <n v="930.36"/>
    <x v="1"/>
    <n v="4"/>
  </r>
  <r>
    <s v="1383"/>
    <d v="2026-02-14T00:00:00"/>
    <d v="1899-12-30T20:52:00"/>
    <x v="2"/>
    <x v="2"/>
    <s v="Patient 1383"/>
    <n v="88"/>
    <s v="MALE"/>
    <s v="Medicare"/>
    <n v="61"/>
    <x v="9"/>
    <n v="4.2"/>
    <s v="No"/>
    <n v="717.1"/>
    <x v="2"/>
    <n v="2"/>
  </r>
  <r>
    <s v="1381"/>
    <d v="2026-02-14T00:00:00"/>
    <d v="1899-12-30T13:53:00"/>
    <x v="1"/>
    <x v="1"/>
    <s v="Patient 1381"/>
    <n v="43"/>
    <s v="MALE"/>
    <s v="Medicaid"/>
    <n v="45"/>
    <x v="100"/>
    <n v="3.4"/>
    <s v="No"/>
    <n v="2241.25"/>
    <x v="1"/>
    <n v="5"/>
  </r>
  <r>
    <s v="1390"/>
    <d v="2026-02-14T00:00:00"/>
    <d v="1899-12-30T00:20:00"/>
    <x v="3"/>
    <x v="3"/>
    <s v="Patient 1390"/>
    <n v="34"/>
    <s v="MALE"/>
    <s v="Medicaid"/>
    <n v="82"/>
    <x v="17"/>
    <n v="3.3"/>
    <s v="No"/>
    <n v="1061.45"/>
    <x v="0"/>
    <n v="3"/>
  </r>
  <r>
    <s v="1397"/>
    <d v="2026-02-15T00:00:00"/>
    <d v="1899-12-30T13:59:00"/>
    <x v="1"/>
    <x v="1"/>
    <s v="Patient 1397"/>
    <n v="51"/>
    <s v="MALE"/>
    <s v="Medicare"/>
    <n v="47"/>
    <x v="71"/>
    <n v="3.2"/>
    <s v="No"/>
    <n v="428.73"/>
    <x v="1"/>
    <n v="4"/>
  </r>
  <r>
    <s v="1392"/>
    <d v="2026-02-15T00:00:00"/>
    <d v="1899-12-30T06:26:00"/>
    <x v="2"/>
    <x v="2"/>
    <s v="Patient 1392"/>
    <n v="83"/>
    <s v="FEMALE"/>
    <s v="Uninsured"/>
    <n v="49"/>
    <x v="20"/>
    <n v="3.2"/>
    <s v="No"/>
    <n v="738.65"/>
    <x v="0"/>
    <n v="3"/>
  </r>
  <r>
    <s v="1399"/>
    <d v="2026-02-15T00:00:00"/>
    <d v="1899-12-30T12:58:00"/>
    <x v="1"/>
    <x v="1"/>
    <s v="Patient 1399"/>
    <n v="52"/>
    <s v="FEMALE"/>
    <s v="Private"/>
    <n v="45"/>
    <x v="25"/>
    <n v="4"/>
    <s v="No"/>
    <n v="2150.9899999999998"/>
    <x v="1"/>
    <n v="4"/>
  </r>
  <r>
    <s v="1398"/>
    <d v="2026-02-15T00:00:00"/>
    <d v="1899-12-30T15:13:00"/>
    <x v="4"/>
    <x v="4"/>
    <s v="Patient 1398"/>
    <n v="41"/>
    <s v="MALE"/>
    <s v="Uninsured"/>
    <n v="68"/>
    <x v="21"/>
    <n v="3.6"/>
    <s v="No"/>
    <n v="920.25"/>
    <x v="2"/>
    <n v="7"/>
  </r>
  <r>
    <s v="1396"/>
    <d v="2026-02-15T00:00:00"/>
    <d v="1899-12-30T17:05:00"/>
    <x v="4"/>
    <x v="4"/>
    <s v="Patient 1396"/>
    <n v="13"/>
    <s v="FEMALE"/>
    <s v="Medicaid"/>
    <n v="91"/>
    <x v="50"/>
    <n v="3.1"/>
    <s v="No"/>
    <n v="1045.8900000000001"/>
    <x v="2"/>
    <n v="7"/>
  </r>
  <r>
    <s v="1391"/>
    <d v="2026-02-15T00:00:00"/>
    <d v="1899-12-30T08:29:00"/>
    <x v="4"/>
    <x v="4"/>
    <s v="Patient 1391"/>
    <n v="47"/>
    <s v="FEMALE"/>
    <s v="Private"/>
    <n v="55"/>
    <x v="94"/>
    <m/>
    <s v="No"/>
    <n v="868.7"/>
    <x v="1"/>
    <n v="4"/>
  </r>
  <r>
    <s v="1394"/>
    <d v="2026-02-15T00:00:00"/>
    <d v="1899-12-30T16:47:00"/>
    <x v="0"/>
    <x v="0"/>
    <s v="Patient 1394"/>
    <n v="46"/>
    <s v="MALE"/>
    <s v="Private"/>
    <n v="89"/>
    <x v="88"/>
    <n v="2.5"/>
    <s v="No"/>
    <n v="3138.13"/>
    <x v="2"/>
    <n v="6"/>
  </r>
  <r>
    <s v="1393"/>
    <d v="2026-02-15T00:00:00"/>
    <d v="1899-12-30T14:25:00"/>
    <x v="3"/>
    <x v="3"/>
    <s v="Patient 1393"/>
    <n v="67"/>
    <s v="FEMALE"/>
    <s v="Medicaid"/>
    <n v="56"/>
    <x v="16"/>
    <n v="2.6"/>
    <s v="No"/>
    <n v="2272"/>
    <x v="1"/>
    <n v="6"/>
  </r>
  <r>
    <s v="1395"/>
    <d v="2026-02-15T00:00:00"/>
    <d v="1899-12-30T14:01:00"/>
    <x v="0"/>
    <x v="0"/>
    <s v="Patient 1395"/>
    <n v="21"/>
    <s v="MALE"/>
    <s v="Medicare"/>
    <n v="55"/>
    <x v="86"/>
    <n v="3"/>
    <s v="No"/>
    <n v="4360.49"/>
    <x v="1"/>
    <n v="6"/>
  </r>
  <r>
    <s v="1402"/>
    <d v="2026-02-16T00:00:00"/>
    <d v="1899-12-30T12:48:00"/>
    <x v="1"/>
    <x v="1"/>
    <s v="Patient 1402"/>
    <n v="58"/>
    <s v="FEMALE"/>
    <s v="Medicare"/>
    <n v="52"/>
    <x v="12"/>
    <m/>
    <s v="Yes"/>
    <n v="2712.55"/>
    <x v="1"/>
    <n v="7"/>
  </r>
  <r>
    <s v="1405"/>
    <d v="2026-02-16T00:00:00"/>
    <d v="1899-12-30T22:19:00"/>
    <x v="3"/>
    <x v="3"/>
    <s v="Patient 1405"/>
    <n v="29"/>
    <s v="MALE"/>
    <s v="Medicare"/>
    <n v="76"/>
    <x v="83"/>
    <n v="3.6"/>
    <s v="No"/>
    <n v="1552.73"/>
    <x v="2"/>
    <n v="6"/>
  </r>
  <r>
    <s v="1400"/>
    <d v="2026-02-16T00:00:00"/>
    <d v="1899-12-30T09:11:00"/>
    <x v="3"/>
    <x v="3"/>
    <s v="Patient 1400"/>
    <n v="54"/>
    <s v="FEMALE"/>
    <s v="Medicaid"/>
    <n v="27"/>
    <x v="8"/>
    <n v="3.3"/>
    <s v="No"/>
    <n v="2056.1999999999998"/>
    <x v="1"/>
    <n v="6"/>
  </r>
  <r>
    <s v="1406"/>
    <d v="2026-02-16T00:00:00"/>
    <d v="1899-12-30T18:51:00"/>
    <x v="4"/>
    <x v="4"/>
    <s v="Patient 1406"/>
    <n v="11"/>
    <s v="FEMALE"/>
    <s v="Medicaid"/>
    <n v="49"/>
    <x v="54"/>
    <n v="3.3"/>
    <s v="No"/>
    <n v="711.93"/>
    <x v="2"/>
    <n v="8"/>
  </r>
  <r>
    <s v="1403"/>
    <d v="2026-02-16T00:00:00"/>
    <d v="1899-12-30T16:38:00"/>
    <x v="1"/>
    <x v="1"/>
    <s v="Patient 1403"/>
    <n v="23"/>
    <s v="FEMALE"/>
    <s v="Medicaid"/>
    <n v="33"/>
    <x v="90"/>
    <n v="4"/>
    <s v="No"/>
    <n v="2148.41"/>
    <x v="2"/>
    <n v="7"/>
  </r>
  <r>
    <s v="1401"/>
    <d v="2026-02-16T00:00:00"/>
    <d v="1899-12-30T19:35:00"/>
    <x v="3"/>
    <x v="3"/>
    <s v="Patient 1401"/>
    <n v="38"/>
    <s v="FEMALE"/>
    <s v="Medicare"/>
    <n v="83"/>
    <x v="47"/>
    <m/>
    <s v="No"/>
    <n v="1018.54"/>
    <x v="2"/>
    <n v="6"/>
  </r>
  <r>
    <s v="1407"/>
    <d v="2026-02-16T00:00:00"/>
    <d v="1899-12-30T21:31:00"/>
    <x v="4"/>
    <x v="4"/>
    <s v="Patient 1407"/>
    <n v="30"/>
    <s v="MALE"/>
    <s v="Private"/>
    <n v="77"/>
    <x v="12"/>
    <m/>
    <s v="No"/>
    <n v="731.38"/>
    <x v="2"/>
    <n v="8"/>
  </r>
  <r>
    <s v="1404"/>
    <d v="2026-02-16T00:00:00"/>
    <d v="1899-12-30T19:18:00"/>
    <x v="2"/>
    <x v="2"/>
    <s v="Patient 1404"/>
    <n v="45"/>
    <s v="MALE"/>
    <s v="Medicare"/>
    <n v="40"/>
    <x v="64"/>
    <n v="3.5"/>
    <s v="No"/>
    <n v="848.86"/>
    <x v="2"/>
    <n v="4"/>
  </r>
  <r>
    <s v="1413"/>
    <d v="2026-02-17T00:00:00"/>
    <d v="1899-12-30T16:01:00"/>
    <x v="2"/>
    <x v="2"/>
    <s v="Patient 1413"/>
    <n v="53"/>
    <s v="FEMALE"/>
    <s v="Private"/>
    <n v="40"/>
    <x v="12"/>
    <n v="3.1"/>
    <s v="Yes"/>
    <n v="823.2"/>
    <x v="2"/>
    <n v="4"/>
  </r>
  <r>
    <s v="1408"/>
    <d v="2026-02-17T00:00:00"/>
    <d v="1899-12-30T17:15:00"/>
    <x v="4"/>
    <x v="4"/>
    <s v="Patient 1408"/>
    <n v="33"/>
    <s v="MALE"/>
    <s v="Private"/>
    <n v="85"/>
    <x v="4"/>
    <n v="3.1"/>
    <s v="No"/>
    <n v="1112.47"/>
    <x v="2"/>
    <n v="10"/>
  </r>
  <r>
    <s v="1412"/>
    <d v="2026-02-17T00:00:00"/>
    <d v="1899-12-30T10:21:00"/>
    <x v="0"/>
    <x v="0"/>
    <s v="Patient 1412"/>
    <n v="64"/>
    <s v="FEMALE"/>
    <s v="Uninsured"/>
    <n v="59"/>
    <x v="2"/>
    <n v="3.6"/>
    <s v="No"/>
    <n v="3685.78"/>
    <x v="1"/>
    <n v="7"/>
  </r>
  <r>
    <s v="1410"/>
    <d v="2026-02-17T00:00:00"/>
    <d v="1899-12-30T18:30:00"/>
    <x v="4"/>
    <x v="4"/>
    <s v="Patient 1410"/>
    <n v="36"/>
    <s v="FEMALE"/>
    <s v="Private"/>
    <n v="55"/>
    <x v="24"/>
    <n v="4"/>
    <s v="No"/>
    <n v="798.58"/>
    <x v="2"/>
    <n v="10"/>
  </r>
  <r>
    <s v="1411"/>
    <d v="2026-02-17T00:00:00"/>
    <d v="1899-12-30T18:21:00"/>
    <x v="1"/>
    <x v="1"/>
    <s v="Patient 1411"/>
    <n v="35"/>
    <s v="FEMALE"/>
    <s v="Private"/>
    <n v="33"/>
    <x v="4"/>
    <n v="2.9"/>
    <s v="No"/>
    <n v="1165.18"/>
    <x v="2"/>
    <n v="4"/>
  </r>
  <r>
    <s v="1414"/>
    <d v="2026-02-17T00:00:00"/>
    <d v="1899-12-30T08:57:00"/>
    <x v="4"/>
    <x v="4"/>
    <s v="Patient 1414"/>
    <n v="36"/>
    <s v="FEMALE"/>
    <s v="Medicare"/>
    <n v="13"/>
    <x v="43"/>
    <m/>
    <m/>
    <n v="854.56"/>
    <x v="1"/>
    <n v="7"/>
  </r>
  <r>
    <s v="1415"/>
    <d v="2026-02-17T00:00:00"/>
    <d v="1899-12-30T18:25:00"/>
    <x v="0"/>
    <x v="0"/>
    <s v="Patient 1415"/>
    <n v="35"/>
    <s v="FEMALE"/>
    <s v="Medicare"/>
    <n v="81"/>
    <x v="63"/>
    <n v="2.9"/>
    <s v="No"/>
    <n v="3883.26"/>
    <x v="2"/>
    <n v="5"/>
  </r>
  <r>
    <s v="1409"/>
    <d v="2026-02-17T00:00:00"/>
    <d v="1899-12-30T05:21:00"/>
    <x v="3"/>
    <x v="3"/>
    <s v="Patient 1409"/>
    <n v="36"/>
    <s v="FEMALE"/>
    <s v="Medicare"/>
    <n v="40"/>
    <x v="64"/>
    <n v="4.3"/>
    <s v="No"/>
    <n v="2007.49"/>
    <x v="0"/>
    <n v="4"/>
  </r>
  <r>
    <s v="1424"/>
    <d v="2026-02-18T00:00:00"/>
    <d v="1899-12-30T17:18:00"/>
    <x v="4"/>
    <x v="4"/>
    <s v="Patient 1424"/>
    <n v="42"/>
    <s v="FEMALE"/>
    <s v="Medicaid"/>
    <n v="67"/>
    <x v="11"/>
    <n v="2.7"/>
    <s v="No"/>
    <n v="729.75"/>
    <x v="2"/>
    <n v="9"/>
  </r>
  <r>
    <s v="1418"/>
    <d v="2026-02-18T00:00:00"/>
    <d v="1899-12-30T15:58:00"/>
    <x v="2"/>
    <x v="2"/>
    <s v="Patient 1418"/>
    <n v="55"/>
    <s v="MALE"/>
    <s v="Private"/>
    <n v="15"/>
    <x v="47"/>
    <n v="4.0999999999999996"/>
    <s v="No"/>
    <n v="472.04"/>
    <x v="2"/>
    <n v="3"/>
  </r>
  <r>
    <s v="1419"/>
    <d v="2026-02-18T00:00:00"/>
    <d v="1899-12-30T07:01:00"/>
    <x v="1"/>
    <x v="1"/>
    <s v="Patient 1419"/>
    <n v="32"/>
    <s v="MALE"/>
    <s v="Private"/>
    <n v="34"/>
    <x v="78"/>
    <n v="4.2"/>
    <s v="No"/>
    <n v="1805.38"/>
    <x v="1"/>
    <n v="6"/>
  </r>
  <r>
    <s v="1425"/>
    <d v="2026-02-18T00:00:00"/>
    <d v="1899-12-30T13:58:00"/>
    <x v="2"/>
    <x v="2"/>
    <s v="Patient 1425"/>
    <n v="24"/>
    <s v="MALE"/>
    <s v="Private"/>
    <n v="39"/>
    <x v="7"/>
    <n v="3.4"/>
    <m/>
    <n v="742.14"/>
    <x v="1"/>
    <n v="5"/>
  </r>
  <r>
    <s v="1420"/>
    <d v="2026-02-18T00:00:00"/>
    <d v="1899-12-30T20:58:00"/>
    <x v="0"/>
    <x v="0"/>
    <s v="Patient 1420"/>
    <n v="48"/>
    <s v="FEMALE"/>
    <s v="Medicaid"/>
    <n v="77"/>
    <x v="101"/>
    <n v="2.8"/>
    <s v="No"/>
    <n v="1846.98"/>
    <x v="2"/>
    <n v="8"/>
  </r>
  <r>
    <s v="1416"/>
    <d v="2026-02-18T00:00:00"/>
    <d v="1899-12-30T01:21:00"/>
    <x v="1"/>
    <x v="1"/>
    <s v="Patient 1416"/>
    <n v="35"/>
    <s v="FEMALE"/>
    <s v="Medicare"/>
    <n v="46"/>
    <x v="20"/>
    <n v="4.9000000000000004"/>
    <s v="Yes"/>
    <n v="2018.83"/>
    <x v="0"/>
    <n v="4"/>
  </r>
  <r>
    <s v="1421"/>
    <d v="2026-02-18T00:00:00"/>
    <d v="1899-12-30T13:09:00"/>
    <x v="2"/>
    <x v="2"/>
    <s v="Patient 1421"/>
    <n v="67"/>
    <s v="FEMALE"/>
    <s v="Medicaid"/>
    <n v="43"/>
    <x v="4"/>
    <n v="4.5999999999999996"/>
    <s v="No"/>
    <n v="797.7"/>
    <x v="1"/>
    <n v="5"/>
  </r>
  <r>
    <s v="1423"/>
    <d v="2026-02-18T00:00:00"/>
    <d v="1899-12-30T09:32:00"/>
    <x v="1"/>
    <x v="1"/>
    <s v="Patient 1423"/>
    <n v="30"/>
    <s v="FEMALE"/>
    <s v="Private"/>
    <n v="53"/>
    <x v="32"/>
    <n v="3.7"/>
    <s v="Yes"/>
    <n v="1550.96"/>
    <x v="1"/>
    <n v="6"/>
  </r>
  <r>
    <s v="1426"/>
    <d v="2026-02-18T00:00:00"/>
    <d v="1899-12-30T08:41:00"/>
    <x v="0"/>
    <x v="0"/>
    <s v="Patient 1426"/>
    <n v="34"/>
    <s v="MALE"/>
    <s v="Medicare"/>
    <n v="56"/>
    <x v="23"/>
    <n v="3"/>
    <s v="No"/>
    <n v="2022.35"/>
    <x v="1"/>
    <n v="9"/>
  </r>
  <r>
    <s v="1422"/>
    <d v="2026-02-18T00:00:00"/>
    <d v="1899-12-30T21:46:00"/>
    <x v="4"/>
    <x v="4"/>
    <s v="Patient 1422"/>
    <n v="150"/>
    <s v="FEMALE"/>
    <s v="Private"/>
    <n v="53"/>
    <x v="21"/>
    <n v="3.7"/>
    <s v="No"/>
    <n v="792.6"/>
    <x v="2"/>
    <n v="9"/>
  </r>
  <r>
    <s v="1417"/>
    <d v="2026-02-18T00:00:00"/>
    <d v="1899-12-30T15:49:00"/>
    <x v="2"/>
    <x v="2"/>
    <s v="Patient 1417"/>
    <n v="33"/>
    <s v="MALE"/>
    <s v="Medicare"/>
    <n v="52"/>
    <x v="73"/>
    <n v="4.4000000000000004"/>
    <s v="No"/>
    <n v="788.5"/>
    <x v="2"/>
    <n v="3"/>
  </r>
  <r>
    <s v="1431"/>
    <d v="2026-02-19T00:00:00"/>
    <d v="1899-12-30T19:01:00"/>
    <x v="2"/>
    <x v="2"/>
    <s v="Patient 1431"/>
    <n v="55"/>
    <s v="FEMALE"/>
    <s v="Medicaid"/>
    <n v="54"/>
    <x v="25"/>
    <n v="3.9"/>
    <s v="No"/>
    <n v="906.99"/>
    <x v="2"/>
    <n v="4"/>
  </r>
  <r>
    <s v="1429"/>
    <d v="2026-02-19T00:00:00"/>
    <d v="1899-12-30T17:20:00"/>
    <x v="4"/>
    <x v="4"/>
    <s v="Patient 1429"/>
    <n v="43"/>
    <s v="MALE"/>
    <s v="Medicare"/>
    <n v="26"/>
    <x v="102"/>
    <n v="3.6"/>
    <s v="No"/>
    <n v="645.30999999999995"/>
    <x v="2"/>
    <n v="10"/>
  </r>
  <r>
    <s v="1427"/>
    <d v="2026-02-19T00:00:00"/>
    <d v="1899-12-30T12:50:00"/>
    <x v="2"/>
    <x v="2"/>
    <s v="Patient 1427"/>
    <n v="37"/>
    <s v="MALE"/>
    <s v="Medicaid"/>
    <n v="40"/>
    <x v="52"/>
    <n v="3.1"/>
    <s v="Yes"/>
    <n v="769.34"/>
    <x v="1"/>
    <n v="8"/>
  </r>
  <r>
    <s v="1430"/>
    <d v="2026-02-19T00:00:00"/>
    <d v="1899-12-30T16:42:00"/>
    <x v="4"/>
    <x v="4"/>
    <s v="Patient 1430"/>
    <n v="64"/>
    <s v="FEMALE"/>
    <s v="Medicaid"/>
    <n v="68"/>
    <x v="22"/>
    <n v="3.5"/>
    <s v="No"/>
    <n v="990.46"/>
    <x v="2"/>
    <n v="10"/>
  </r>
  <r>
    <s v="1428"/>
    <d v="2026-02-19T00:00:00"/>
    <d v="1899-12-30T18:21:00"/>
    <x v="2"/>
    <x v="2"/>
    <s v="Patient 1428"/>
    <n v="59"/>
    <s v="FEMALE"/>
    <s v="Private"/>
    <n v="53"/>
    <x v="44"/>
    <n v="3.7"/>
    <s v="No"/>
    <n v="628.54"/>
    <x v="2"/>
    <n v="4"/>
  </r>
  <r>
    <s v="1433"/>
    <d v="2026-02-20T00:00:00"/>
    <d v="1899-12-30T07:16:00"/>
    <x v="0"/>
    <x v="0"/>
    <s v="Patient 1433"/>
    <n v="47"/>
    <s v="MALE"/>
    <s v="Medicaid"/>
    <n v="36"/>
    <x v="30"/>
    <m/>
    <s v="No"/>
    <n v="4000.04"/>
    <x v="1"/>
    <n v="10"/>
  </r>
  <r>
    <s v="1434"/>
    <d v="2026-02-20T00:00:00"/>
    <d v="1899-12-30T18:44:00"/>
    <x v="0"/>
    <x v="0"/>
    <s v="Patient 1434"/>
    <n v="91"/>
    <s v="FEMALE"/>
    <s v="Medicare"/>
    <n v="72"/>
    <x v="39"/>
    <n v="3.5"/>
    <s v="No"/>
    <n v="2426.13"/>
    <x v="2"/>
    <n v="7"/>
  </r>
  <r>
    <s v="1435"/>
    <d v="2026-02-20T00:00:00"/>
    <d v="1899-12-30T19:48:00"/>
    <x v="1"/>
    <x v="1"/>
    <s v="Patient 1435"/>
    <n v="60"/>
    <s v="FEMALE"/>
    <s v="Medicare"/>
    <n v="39"/>
    <x v="76"/>
    <n v="3.9"/>
    <s v="No"/>
    <n v="1572.36"/>
    <x v="2"/>
    <n v="7"/>
  </r>
  <r>
    <s v="1437"/>
    <d v="2026-02-20T00:00:00"/>
    <d v="1899-12-30T14:49:00"/>
    <x v="4"/>
    <x v="4"/>
    <s v="Patient 1437"/>
    <n v="61"/>
    <s v="FEMALE"/>
    <s v="Uninsured"/>
    <n v="45"/>
    <x v="12"/>
    <n v="3.4"/>
    <s v="No"/>
    <n v="680.04"/>
    <x v="1"/>
    <n v="7"/>
  </r>
  <r>
    <s v="1432"/>
    <d v="2026-02-20T00:00:00"/>
    <d v="1899-12-30T09:25:00"/>
    <x v="3"/>
    <x v="3"/>
    <s v="Patient 1432"/>
    <n v="66"/>
    <s v="FEMALE"/>
    <s v="Uninsured"/>
    <n v="35"/>
    <x v="6"/>
    <n v="3.2"/>
    <s v="No"/>
    <n v="1377.35"/>
    <x v="1"/>
    <n v="5"/>
  </r>
  <r>
    <s v="1439"/>
    <d v="2026-02-20T00:00:00"/>
    <d v="1899-12-30T19:23:00"/>
    <x v="4"/>
    <x v="4"/>
    <s v="Patient 1439"/>
    <n v="150"/>
    <s v="FEMALE"/>
    <s v="Medicaid"/>
    <n v="56"/>
    <x v="8"/>
    <m/>
    <s v="No"/>
    <n v="777.84"/>
    <x v="2"/>
    <n v="12"/>
  </r>
  <r>
    <s v="1438"/>
    <d v="2026-02-20T00:00:00"/>
    <d v="1899-12-30T14:51:00"/>
    <x v="2"/>
    <x v="2"/>
    <s v="Patient 1438"/>
    <n v="47"/>
    <s v="FEMALE"/>
    <s v="Medicaid"/>
    <n v="46"/>
    <x v="73"/>
    <n v="2.9"/>
    <s v="No"/>
    <n v="768.69"/>
    <x v="1"/>
    <n v="5"/>
  </r>
  <r>
    <s v="1436"/>
    <d v="2026-02-20T00:00:00"/>
    <d v="1899-12-30T12:35:00"/>
    <x v="4"/>
    <x v="4"/>
    <s v="Patient 1436"/>
    <n v="14"/>
    <s v="MALE"/>
    <s v="Medicare"/>
    <n v="45"/>
    <x v="60"/>
    <n v="4.2"/>
    <s v="No"/>
    <m/>
    <x v="1"/>
    <n v="7"/>
  </r>
  <r>
    <s v="1442"/>
    <d v="2026-02-21T00:00:00"/>
    <d v="1899-12-30T21:20:00"/>
    <x v="1"/>
    <x v="1"/>
    <s v="Patient 1442"/>
    <n v="31"/>
    <s v="MALE"/>
    <s v="Uninsured"/>
    <n v="57"/>
    <x v="50"/>
    <n v="3.2"/>
    <s v="No"/>
    <n v="769.57"/>
    <x v="2"/>
    <n v="6"/>
  </r>
  <r>
    <s v="1444"/>
    <d v="2026-02-21T00:00:00"/>
    <d v="1899-12-30T00:13:00"/>
    <x v="1"/>
    <x v="1"/>
    <s v="Patient 1444"/>
    <n v="51"/>
    <s v="MALE"/>
    <s v="Private"/>
    <n v="54"/>
    <x v="18"/>
    <n v="4.9000000000000004"/>
    <s v="No"/>
    <n v="1973.89"/>
    <x v="0"/>
    <n v="3"/>
  </r>
  <r>
    <s v="1445"/>
    <d v="2026-02-21T00:00:00"/>
    <d v="1899-12-30T13:18:00"/>
    <x v="3"/>
    <x v="3"/>
    <s v="Patient 1445"/>
    <n v="57"/>
    <s v="MALE"/>
    <s v="Medicaid"/>
    <n v="54"/>
    <x v="4"/>
    <n v="3.6"/>
    <s v="No"/>
    <n v="1013.21"/>
    <x v="1"/>
    <n v="3"/>
  </r>
  <r>
    <s v="1441"/>
    <d v="2026-02-21T00:00:00"/>
    <d v="1899-12-30T01:26:00"/>
    <x v="0"/>
    <x v="0"/>
    <s v="Patient 1441"/>
    <n v="46"/>
    <s v="MALE"/>
    <s v="Private"/>
    <n v="82"/>
    <x v="86"/>
    <n v="2.5"/>
    <s v="No"/>
    <n v="2189.96"/>
    <x v="0"/>
    <n v="1"/>
  </r>
  <r>
    <s v="1447"/>
    <d v="2026-02-21T00:00:00"/>
    <d v="1899-12-30T19:01:00"/>
    <x v="1"/>
    <x v="1"/>
    <s v="Patient 1447"/>
    <n v="21"/>
    <s v="FEMALE"/>
    <s v="Private"/>
    <n v="71"/>
    <x v="27"/>
    <n v="2.9"/>
    <s v="No"/>
    <m/>
    <x v="2"/>
    <n v="6"/>
  </r>
  <r>
    <s v="1446"/>
    <d v="2026-02-21T00:00:00"/>
    <d v="1899-12-30T18:50:00"/>
    <x v="1"/>
    <x v="1"/>
    <s v="Patient 1446"/>
    <n v="52"/>
    <s v="FEMALE"/>
    <s v="Private"/>
    <n v="62"/>
    <x v="46"/>
    <n v="3.1"/>
    <s v="No"/>
    <n v="1000.43"/>
    <x v="2"/>
    <n v="6"/>
  </r>
  <r>
    <s v="1443"/>
    <d v="2026-02-21T00:00:00"/>
    <d v="1899-12-30T18:54:00"/>
    <x v="3"/>
    <x v="3"/>
    <s v="Patient 1443"/>
    <n v="31"/>
    <s v="FEMALE"/>
    <s v="Private"/>
    <n v="104"/>
    <x v="26"/>
    <n v="1.7"/>
    <s v="No"/>
    <n v="2219.81"/>
    <x v="2"/>
    <n v="2"/>
  </r>
  <r>
    <s v="1440"/>
    <d v="2026-02-21T00:00:00"/>
    <d v="1899-12-30T14:31:00"/>
    <x v="1"/>
    <x v="1"/>
    <s v="Patient 1440"/>
    <n v="60"/>
    <s v="MALE"/>
    <s v="Private"/>
    <n v="50"/>
    <x v="76"/>
    <n v="3.4"/>
    <m/>
    <n v="1992.82"/>
    <x v="1"/>
    <n v="6"/>
  </r>
  <r>
    <s v="1443"/>
    <d v="2026-02-21T00:00:00"/>
    <d v="1899-12-30T18:54:00"/>
    <x v="3"/>
    <x v="3"/>
    <s v="Patient 1443"/>
    <n v="31"/>
    <s v="FEMALE"/>
    <s v="Private"/>
    <n v="104"/>
    <x v="26"/>
    <n v="1.7"/>
    <s v="No"/>
    <n v="2219.81"/>
    <x v="2"/>
    <n v="2"/>
  </r>
  <r>
    <s v="1449"/>
    <d v="2026-02-22T00:00:00"/>
    <d v="1899-12-30T10:28:00"/>
    <x v="4"/>
    <x v="4"/>
    <s v="Patient 1449"/>
    <n v="47"/>
    <s v="MALE"/>
    <s v="Medicare"/>
    <n v="61"/>
    <x v="41"/>
    <n v="4"/>
    <s v="No"/>
    <n v="792.21"/>
    <x v="1"/>
    <n v="5"/>
  </r>
  <r>
    <s v="1450"/>
    <d v="2026-02-22T00:00:00"/>
    <d v="1899-12-30T15:31:00"/>
    <x v="4"/>
    <x v="4"/>
    <s v="Patient 1450"/>
    <n v="26"/>
    <s v="MALE"/>
    <s v="Uninsured"/>
    <n v="57"/>
    <x v="88"/>
    <n v="3.6"/>
    <s v="No"/>
    <n v="778.96"/>
    <x v="2"/>
    <n v="11"/>
  </r>
  <r>
    <s v="1448"/>
    <d v="2026-02-22T00:00:00"/>
    <d v="1899-12-30T15:43:00"/>
    <x v="2"/>
    <x v="2"/>
    <s v="Patient 1448"/>
    <n v="32"/>
    <s v="FEMALE"/>
    <s v="Medicaid"/>
    <n v="41"/>
    <x v="50"/>
    <m/>
    <s v="No"/>
    <n v="573.55999999999995"/>
    <x v="2"/>
    <n v="6"/>
  </r>
  <r>
    <s v="1452"/>
    <d v="2026-02-22T00:00:00"/>
    <d v="1899-12-30T10:53:00"/>
    <x v="0"/>
    <x v="0"/>
    <s v="Patient 1452"/>
    <n v="1"/>
    <s v="FEMALE"/>
    <s v="Medicare"/>
    <n v="62"/>
    <x v="34"/>
    <n v="3.3"/>
    <s v="No"/>
    <m/>
    <x v="1"/>
    <n v="8"/>
  </r>
  <r>
    <s v="1454"/>
    <d v="2026-02-22T00:00:00"/>
    <d v="1899-12-30T04:19:00"/>
    <x v="4"/>
    <x v="4"/>
    <s v="Patient 1454"/>
    <n v="83"/>
    <s v="MALE"/>
    <s v="Private"/>
    <n v="58"/>
    <x v="16"/>
    <n v="3.5"/>
    <s v="No"/>
    <n v="642.09"/>
    <x v="0"/>
    <n v="3"/>
  </r>
  <r>
    <s v="1455"/>
    <d v="2026-02-22T00:00:00"/>
    <d v="1899-12-30T04:53:00"/>
    <x v="0"/>
    <x v="0"/>
    <s v="Patient 1455"/>
    <n v="76"/>
    <s v="FEMALE"/>
    <s v="Private"/>
    <n v="56"/>
    <x v="29"/>
    <n v="4.8"/>
    <s v="Yes"/>
    <n v="2801"/>
    <x v="0"/>
    <n v="2"/>
  </r>
  <r>
    <s v="1451"/>
    <d v="2026-02-22T00:00:00"/>
    <d v="1899-12-30T15:57:00"/>
    <x v="4"/>
    <x v="4"/>
    <s v="Patient 1451"/>
    <n v="27"/>
    <s v="FEMALE"/>
    <s v="Medicaid"/>
    <n v="46"/>
    <x v="76"/>
    <n v="4.4000000000000004"/>
    <s v="No"/>
    <n v="555.74"/>
    <x v="2"/>
    <n v="11"/>
  </r>
  <r>
    <s v="1453"/>
    <d v="2026-02-22T00:00:00"/>
    <d v="1899-12-30T09:54:00"/>
    <x v="4"/>
    <x v="4"/>
    <s v="Patient 1453"/>
    <n v="30"/>
    <s v="FEMALE"/>
    <s v="Medicare"/>
    <n v="54"/>
    <x v="27"/>
    <n v="3.3"/>
    <s v="No"/>
    <m/>
    <x v="1"/>
    <n v="5"/>
  </r>
  <r>
    <s v="1456"/>
    <d v="2026-02-23T00:00:00"/>
    <d v="1899-12-30T17:51:00"/>
    <x v="0"/>
    <x v="0"/>
    <s v="Patient 1456"/>
    <n v="62"/>
    <s v="MALE"/>
    <s v="Medicaid"/>
    <n v="78"/>
    <x v="95"/>
    <n v="4.0999999999999996"/>
    <s v="No"/>
    <n v="4047.13"/>
    <x v="2"/>
    <n v="8"/>
  </r>
  <r>
    <s v="1459"/>
    <d v="2026-02-23T00:00:00"/>
    <d v="1899-12-30T12:05:00"/>
    <x v="4"/>
    <x v="4"/>
    <s v="Patient 1459"/>
    <n v="65"/>
    <s v="FEMALE"/>
    <s v="Private"/>
    <n v="25"/>
    <x v="58"/>
    <n v="3.7"/>
    <s v="No"/>
    <n v="831.24"/>
    <x v="1"/>
    <n v="5"/>
  </r>
  <r>
    <s v="1457"/>
    <d v="2026-02-23T00:00:00"/>
    <d v="1899-12-30T17:51:00"/>
    <x v="0"/>
    <x v="0"/>
    <s v="Patient 1457"/>
    <n v="33"/>
    <s v="MALE"/>
    <s v="Uninsured"/>
    <n v="58"/>
    <x v="103"/>
    <n v="2.1"/>
    <s v="No"/>
    <n v="3202.18"/>
    <x v="2"/>
    <n v="8"/>
  </r>
  <r>
    <s v="1458"/>
    <d v="2026-02-23T00:00:00"/>
    <d v="1899-12-30T14:52:00"/>
    <x v="4"/>
    <x v="4"/>
    <s v="Patient 1458"/>
    <n v="29"/>
    <s v="FEMALE"/>
    <s v="Medicare"/>
    <n v="44"/>
    <x v="45"/>
    <n v="4.0999999999999996"/>
    <s v="No"/>
    <n v="1421.1"/>
    <x v="1"/>
    <n v="5"/>
  </r>
  <r>
    <s v="1460"/>
    <d v="2026-02-23T00:00:00"/>
    <d v="1899-12-30T13:15:00"/>
    <x v="4"/>
    <x v="4"/>
    <s v="Patient 1460"/>
    <n v="39"/>
    <s v="MALE"/>
    <s v="Private"/>
    <n v="36"/>
    <x v="17"/>
    <n v="1.7"/>
    <s v="No"/>
    <n v="1055.49"/>
    <x v="1"/>
    <n v="5"/>
  </r>
  <r>
    <s v="1463"/>
    <d v="2026-02-24T00:00:00"/>
    <d v="1899-12-30T13:13:00"/>
    <x v="1"/>
    <x v="1"/>
    <s v="Patient 1463"/>
    <n v="999"/>
    <s v="MALE"/>
    <s v="Uninsured"/>
    <n v="17"/>
    <x v="6"/>
    <n v="4.5"/>
    <s v="No"/>
    <n v="1536.39"/>
    <x v="1"/>
    <n v="7"/>
  </r>
  <r>
    <s v="1465"/>
    <d v="2026-02-24T00:00:00"/>
    <d v="1899-12-30T12:06:00"/>
    <x v="4"/>
    <x v="4"/>
    <s v="Patient 1465"/>
    <n v="43"/>
    <s v="FEMALE"/>
    <s v="Medicaid"/>
    <n v="64"/>
    <x v="76"/>
    <n v="3.6"/>
    <s v="No"/>
    <n v="681.25"/>
    <x v="1"/>
    <n v="7"/>
  </r>
  <r>
    <s v="1470"/>
    <d v="2026-02-24T00:00:00"/>
    <d v="1899-12-30T11:21:00"/>
    <x v="4"/>
    <x v="4"/>
    <s v="Patient 1470"/>
    <n v="60"/>
    <s v="FEMALE"/>
    <s v="Private"/>
    <n v="24"/>
    <x v="5"/>
    <n v="4.4000000000000004"/>
    <s v="No"/>
    <n v="954.53"/>
    <x v="1"/>
    <n v="7"/>
  </r>
  <r>
    <s v="1464"/>
    <d v="2026-02-24T00:00:00"/>
    <d v="1899-12-30T09:36:00"/>
    <x v="3"/>
    <x v="3"/>
    <s v="Patient 1464"/>
    <n v="72"/>
    <s v="FEMALE"/>
    <s v="Private"/>
    <n v="51"/>
    <x v="47"/>
    <n v="3.3"/>
    <s v="No"/>
    <n v="1706.26"/>
    <x v="1"/>
    <n v="8"/>
  </r>
  <r>
    <s v="1468"/>
    <d v="2026-02-24T00:00:00"/>
    <d v="1899-12-30T09:25:00"/>
    <x v="2"/>
    <x v="2"/>
    <s v="Patient 1468"/>
    <n v="34"/>
    <s v="FEMALE"/>
    <s v="Medicare"/>
    <n v="14"/>
    <x v="8"/>
    <n v="4.0999999999999996"/>
    <s v="No"/>
    <n v="632.59"/>
    <x v="1"/>
    <n v="7"/>
  </r>
  <r>
    <s v="1471"/>
    <d v="2026-02-24T00:00:00"/>
    <d v="1899-12-30T11:08:00"/>
    <x v="1"/>
    <x v="1"/>
    <s v="Patient 1471"/>
    <n v="78"/>
    <s v="FEMALE"/>
    <s v="Uninsured"/>
    <n v="66"/>
    <x v="68"/>
    <n v="3.3"/>
    <s v="No"/>
    <n v="1861.26"/>
    <x v="1"/>
    <n v="7"/>
  </r>
  <r>
    <s v="1467"/>
    <d v="2026-02-24T00:00:00"/>
    <d v="1899-12-30T12:59:00"/>
    <x v="4"/>
    <x v="4"/>
    <s v="Patient 1467"/>
    <n v="1"/>
    <s v="MALE"/>
    <s v="Medicaid"/>
    <n v="27"/>
    <x v="71"/>
    <n v="5"/>
    <s v="No"/>
    <n v="456.34"/>
    <x v="1"/>
    <n v="7"/>
  </r>
  <r>
    <s v="1461"/>
    <d v="2026-02-24T00:00:00"/>
    <d v="1899-12-30T15:50:00"/>
    <x v="4"/>
    <x v="4"/>
    <s v="Patient 1461"/>
    <n v="47"/>
    <s v="FEMALE"/>
    <s v="Medicare"/>
    <n v="57"/>
    <x v="53"/>
    <n v="2.7"/>
    <s v="No"/>
    <n v="1195.71"/>
    <x v="2"/>
    <n v="10"/>
  </r>
  <r>
    <s v="1466"/>
    <d v="2026-02-24T00:00:00"/>
    <d v="1899-12-30T10:09:00"/>
    <x v="2"/>
    <x v="2"/>
    <s v="Patient 1466"/>
    <n v="24"/>
    <s v="FEMALE"/>
    <s v="Medicare"/>
    <n v="11"/>
    <x v="90"/>
    <n v="4"/>
    <s v="No"/>
    <n v="637.67999999999995"/>
    <x v="1"/>
    <n v="7"/>
  </r>
  <r>
    <s v="1469"/>
    <d v="2026-02-24T00:00:00"/>
    <d v="1899-12-30T21:28:00"/>
    <x v="4"/>
    <x v="4"/>
    <s v="Patient 1469"/>
    <n v="50"/>
    <s v="FEMALE"/>
    <s v="Medicare"/>
    <n v="51"/>
    <x v="65"/>
    <n v="3.6"/>
    <s v="No"/>
    <n v="1042.93"/>
    <x v="2"/>
    <n v="10"/>
  </r>
  <r>
    <s v="1462"/>
    <d v="2026-02-24T00:00:00"/>
    <d v="1899-12-30T10:24:00"/>
    <x v="2"/>
    <x v="2"/>
    <s v="Patient 1462"/>
    <n v="43"/>
    <s v="MALE"/>
    <s v="Private"/>
    <n v="38"/>
    <x v="19"/>
    <n v="3.9"/>
    <s v="No"/>
    <n v="626.05999999999995"/>
    <x v="1"/>
    <n v="7"/>
  </r>
  <r>
    <s v="1473"/>
    <d v="2026-02-25T00:00:00"/>
    <d v="1899-12-30T17:16:00"/>
    <x v="1"/>
    <x v="1"/>
    <s v="Patient 1473"/>
    <n v="1"/>
    <s v="MALE"/>
    <s v="Medicaid"/>
    <n v="54"/>
    <x v="20"/>
    <n v="3.1"/>
    <s v="No"/>
    <n v="2198.1"/>
    <x v="2"/>
    <n v="5"/>
  </r>
  <r>
    <s v="1472"/>
    <d v="2026-02-25T00:00:00"/>
    <d v="1899-12-30T13:31:00"/>
    <x v="1"/>
    <x v="1"/>
    <s v="Patient 1472"/>
    <n v="78"/>
    <s v="MALE"/>
    <s v="Medicaid"/>
    <n v="24"/>
    <x v="50"/>
    <n v="3.5"/>
    <s v="No"/>
    <n v="1766.13"/>
    <x v="1"/>
    <n v="7"/>
  </r>
  <r>
    <s v="1475"/>
    <d v="2026-02-25T00:00:00"/>
    <d v="1899-12-30T19:10:00"/>
    <x v="1"/>
    <x v="1"/>
    <s v="Patient 1475"/>
    <n v="80"/>
    <s v="MALE"/>
    <s v="Medicaid"/>
    <n v="20"/>
    <x v="12"/>
    <n v="3.1"/>
    <s v="No"/>
    <n v="2107.9899999999998"/>
    <x v="2"/>
    <n v="5"/>
  </r>
  <r>
    <s v="1474"/>
    <d v="2026-02-25T00:00:00"/>
    <d v="1899-12-30T20:36:00"/>
    <x v="4"/>
    <x v="4"/>
    <s v="Patient 1474"/>
    <n v="29"/>
    <s v="FEMALE"/>
    <s v="Medicare"/>
    <n v="73"/>
    <x v="27"/>
    <n v="2.9"/>
    <s v="No"/>
    <n v="869.9"/>
    <x v="2"/>
    <n v="10"/>
  </r>
  <r>
    <s v="1477"/>
    <d v="2026-02-25T00:00:00"/>
    <d v="1899-12-30T09:09:00"/>
    <x v="0"/>
    <x v="0"/>
    <s v="Patient 1477"/>
    <n v="54"/>
    <s v="FEMALE"/>
    <s v="Medicaid"/>
    <n v="66"/>
    <x v="52"/>
    <n v="3.9"/>
    <s v="Yes"/>
    <n v="5477.54"/>
    <x v="1"/>
    <n v="8"/>
  </r>
  <r>
    <s v="1476"/>
    <d v="2026-02-25T00:00:00"/>
    <d v="1899-12-30T23:04:00"/>
    <x v="4"/>
    <x v="4"/>
    <s v="Patient 1476"/>
    <n v="45"/>
    <s v="MALE"/>
    <s v="Medicaid"/>
    <n v="34"/>
    <x v="76"/>
    <n v="3.7"/>
    <s v="No"/>
    <n v="389.3"/>
    <x v="2"/>
    <n v="10"/>
  </r>
  <r>
    <s v="1480"/>
    <d v="2026-02-26T00:00:00"/>
    <d v="1899-12-30T10:08:00"/>
    <x v="0"/>
    <x v="0"/>
    <s v="Patient 1480"/>
    <n v="16"/>
    <s v="MALE"/>
    <s v="Medicare"/>
    <n v="33"/>
    <x v="65"/>
    <n v="3.9"/>
    <s v="No"/>
    <n v="3207.23"/>
    <x v="1"/>
    <n v="10"/>
  </r>
  <r>
    <s v="1478"/>
    <d v="2026-02-26T00:00:00"/>
    <d v="1899-12-30T16:49:00"/>
    <x v="0"/>
    <x v="0"/>
    <s v="Patient 1478"/>
    <n v="81"/>
    <s v="MALE"/>
    <s v="Private"/>
    <n v="70"/>
    <x v="84"/>
    <n v="2.9"/>
    <s v="No"/>
    <n v="1798.71"/>
    <x v="2"/>
    <n v="8"/>
  </r>
  <r>
    <s v="1484"/>
    <d v="2026-02-26T00:00:00"/>
    <d v="1899-12-30T08:19:00"/>
    <x v="2"/>
    <x v="2"/>
    <s v="Patient 1484"/>
    <n v="43"/>
    <s v="MALE"/>
    <s v="Medicaid"/>
    <n v="49"/>
    <x v="46"/>
    <n v="4.7"/>
    <s v="No"/>
    <n v="753.39"/>
    <x v="1"/>
    <n v="6"/>
  </r>
  <r>
    <s v="1485"/>
    <d v="2026-02-26T00:00:00"/>
    <d v="1899-12-30T18:07:00"/>
    <x v="3"/>
    <x v="3"/>
    <s v="Patient 1485"/>
    <n v="33"/>
    <s v="FEMALE"/>
    <s v="Private"/>
    <n v="77"/>
    <x v="40"/>
    <n v="2.7"/>
    <s v="No"/>
    <n v="919.6"/>
    <x v="2"/>
    <n v="4"/>
  </r>
  <r>
    <s v="1482"/>
    <d v="2026-02-26T00:00:00"/>
    <d v="1899-12-30T22:37:00"/>
    <x v="4"/>
    <x v="4"/>
    <s v="Patient 1482"/>
    <n v="37"/>
    <s v="MALE"/>
    <s v="Uninsured"/>
    <n v="58"/>
    <x v="45"/>
    <n v="3.1"/>
    <s v="No"/>
    <n v="636.47"/>
    <x v="2"/>
    <n v="11"/>
  </r>
  <r>
    <s v="1481"/>
    <d v="2026-02-26T00:00:00"/>
    <d v="1899-12-30T00:38:00"/>
    <x v="0"/>
    <x v="0"/>
    <s v="Patient 1481"/>
    <n v="61"/>
    <s v="MALE"/>
    <s v="Medicaid"/>
    <n v="62"/>
    <x v="99"/>
    <n v="2.7"/>
    <s v="No"/>
    <n v="3013.72"/>
    <x v="0"/>
    <n v="2"/>
  </r>
  <r>
    <s v="1487"/>
    <d v="2026-02-26T00:00:00"/>
    <d v="1899-12-30T05:24:00"/>
    <x v="4"/>
    <x v="4"/>
    <s v="Patient 1487"/>
    <n v="29"/>
    <s v="MALE"/>
    <s v="Private"/>
    <n v="55"/>
    <x v="25"/>
    <n v="3.5"/>
    <s v="No"/>
    <n v="1161.23"/>
    <x v="0"/>
    <n v="5"/>
  </r>
  <r>
    <s v="1483"/>
    <d v="2026-02-26T00:00:00"/>
    <d v="1899-12-30T11:38:00"/>
    <x v="4"/>
    <x v="4"/>
    <s v="Patient 1483"/>
    <n v="41"/>
    <s v="MALE"/>
    <s v="Medicaid"/>
    <n v="43"/>
    <x v="19"/>
    <n v="3.8"/>
    <s v="No"/>
    <n v="588.46"/>
    <x v="1"/>
    <n v="6"/>
  </r>
  <r>
    <s v="1479"/>
    <d v="2026-02-26T00:00:00"/>
    <d v="1899-12-30T11:15:00"/>
    <x v="2"/>
    <x v="2"/>
    <s v="Patient 1479"/>
    <n v="61"/>
    <s v="FEMALE"/>
    <s v="Private"/>
    <n v="37"/>
    <x v="68"/>
    <n v="3.7"/>
    <s v="No"/>
    <n v="478.73"/>
    <x v="1"/>
    <n v="6"/>
  </r>
  <r>
    <s v="1486"/>
    <d v="2026-02-26T00:00:00"/>
    <d v="1899-12-30T21:31:00"/>
    <x v="4"/>
    <x v="4"/>
    <s v="Patient 1486"/>
    <n v="48"/>
    <s v="FEMALE"/>
    <s v="Private"/>
    <n v="56"/>
    <x v="40"/>
    <n v="2.9"/>
    <s v="No"/>
    <n v="672.36"/>
    <x v="2"/>
    <n v="11"/>
  </r>
  <r>
    <s v="1496"/>
    <d v="2026-02-27T00:00:00"/>
    <d v="1899-12-30T10:27:00"/>
    <x v="2"/>
    <x v="2"/>
    <s v="Patient 1496"/>
    <n v="95"/>
    <s v="FEMALE"/>
    <s v="Medicare"/>
    <n v="5"/>
    <x v="22"/>
    <m/>
    <s v="No"/>
    <n v="604.78"/>
    <x v="1"/>
    <n v="8"/>
  </r>
  <r>
    <s v="1494"/>
    <d v="2026-02-27T00:00:00"/>
    <d v="1899-12-30T10:27:00"/>
    <x v="1"/>
    <x v="1"/>
    <s v="Patient 1494"/>
    <n v="2"/>
    <s v="MALE"/>
    <s v="Medicare"/>
    <n v="20"/>
    <x v="91"/>
    <n v="3.3"/>
    <s v="No"/>
    <n v="1685.92"/>
    <x v="1"/>
    <n v="8"/>
  </r>
  <r>
    <s v="1490"/>
    <d v="2026-02-27T00:00:00"/>
    <d v="1899-12-30T14:16:00"/>
    <x v="4"/>
    <x v="4"/>
    <s v="Patient 1490"/>
    <n v="45"/>
    <s v="FEMALE"/>
    <s v="Uninsured"/>
    <n v="33"/>
    <x v="69"/>
    <n v="3"/>
    <s v="No"/>
    <n v="1011.44"/>
    <x v="1"/>
    <n v="8"/>
  </r>
  <r>
    <s v="1492"/>
    <d v="2026-02-27T00:00:00"/>
    <d v="1899-12-30T11:54:00"/>
    <x v="3"/>
    <x v="3"/>
    <s v="Patient 1492"/>
    <n v="62"/>
    <s v="FEMALE"/>
    <s v="Medicare"/>
    <n v="26"/>
    <x v="53"/>
    <n v="3.3"/>
    <s v="Yes"/>
    <n v="1517.46"/>
    <x v="1"/>
    <n v="4"/>
  </r>
  <r>
    <s v="1495"/>
    <d v="2026-02-27T00:00:00"/>
    <d v="1899-12-30T07:22:00"/>
    <x v="4"/>
    <x v="4"/>
    <s v="Patient 1495"/>
    <n v="92"/>
    <s v="MALE"/>
    <s v="Medicare"/>
    <n v="22"/>
    <x v="12"/>
    <n v="4"/>
    <s v="No"/>
    <n v="769.37"/>
    <x v="1"/>
    <n v="8"/>
  </r>
  <r>
    <s v="1488"/>
    <d v="2026-02-27T00:00:00"/>
    <d v="1899-12-30T17:11:00"/>
    <x v="0"/>
    <x v="0"/>
    <s v="Patient 1488"/>
    <n v="65"/>
    <s v="FEMALE"/>
    <s v="Medicaid"/>
    <n v="94"/>
    <x v="39"/>
    <n v="3.7"/>
    <s v="No"/>
    <n v="2883.34"/>
    <x v="2"/>
    <n v="4"/>
  </r>
  <r>
    <s v="1493"/>
    <d v="2026-02-27T00:00:00"/>
    <d v="1899-12-30T13:07:00"/>
    <x v="4"/>
    <x v="4"/>
    <s v="Patient 1493"/>
    <n v="71"/>
    <s v="FEMALE"/>
    <s v="Medicaid"/>
    <n v="33"/>
    <x v="50"/>
    <n v="3.3"/>
    <s v="No"/>
    <n v="868"/>
    <x v="1"/>
    <n v="8"/>
  </r>
  <r>
    <s v="1489"/>
    <d v="2026-02-27T00:00:00"/>
    <d v="1899-12-30T16:57:00"/>
    <x v="4"/>
    <x v="4"/>
    <s v="Patient 1489"/>
    <n v="85"/>
    <s v="FEMALE"/>
    <s v="Medicaid"/>
    <n v="46"/>
    <x v="88"/>
    <n v="4.2"/>
    <s v="No"/>
    <n v="762.61"/>
    <x v="2"/>
    <n v="11"/>
  </r>
  <r>
    <s v="1497"/>
    <d v="2026-02-27T00:00:00"/>
    <d v="1899-12-30T23:00:00"/>
    <x v="3"/>
    <x v="3"/>
    <s v="Patient 1497"/>
    <n v="30"/>
    <s v="MALE"/>
    <s v="Uninsured"/>
    <n v="50"/>
    <x v="76"/>
    <n v="4.0999999999999996"/>
    <s v="No"/>
    <n v="2012.73"/>
    <x v="2"/>
    <n v="4"/>
  </r>
  <r>
    <s v="1498"/>
    <d v="2026-02-27T00:00:00"/>
    <d v="1899-12-30T15:52:00"/>
    <x v="0"/>
    <x v="0"/>
    <s v="Patient 1498"/>
    <n v="77"/>
    <s v="FEMALE"/>
    <s v="Medicare"/>
    <n v="70"/>
    <x v="39"/>
    <n v="3.2"/>
    <s v="No"/>
    <n v="2666.17"/>
    <x v="2"/>
    <n v="4"/>
  </r>
  <r>
    <s v="1491"/>
    <d v="2026-02-27T00:00:00"/>
    <d v="1899-12-30T07:06:00"/>
    <x v="3"/>
    <x v="3"/>
    <s v="Patient 1491"/>
    <n v="46"/>
    <s v="FEMALE"/>
    <s v="Medicaid"/>
    <n v="32"/>
    <x v="24"/>
    <n v="3.8"/>
    <s v="No"/>
    <n v="893.08"/>
    <x v="1"/>
    <n v="4"/>
  </r>
  <r>
    <s v="1501"/>
    <d v="2026-02-28T00:00:00"/>
    <d v="1899-12-30T09:22:00"/>
    <x v="2"/>
    <x v="2"/>
    <s v="Patient 1501"/>
    <n v="69"/>
    <s v="MALE"/>
    <s v="Medicaid"/>
    <n v="44"/>
    <x v="21"/>
    <n v="3.3"/>
    <s v="No"/>
    <n v="747.61"/>
    <x v="1"/>
    <n v="6"/>
  </r>
  <r>
    <s v="1499"/>
    <d v="2026-02-28T00:00:00"/>
    <d v="1899-12-30T06:13:00"/>
    <x v="4"/>
    <x v="4"/>
    <s v="Patient 1499"/>
    <n v="32"/>
    <s v="MALE"/>
    <s v="Medicaid"/>
    <n v="51"/>
    <x v="40"/>
    <n v="2.8"/>
    <s v="No"/>
    <n v="994.27"/>
    <x v="0"/>
    <n v="3"/>
  </r>
  <r>
    <s v="1505"/>
    <d v="2026-02-28T00:00:00"/>
    <d v="1899-12-30T22:55:00"/>
    <x v="4"/>
    <x v="4"/>
    <s v="Patient 1505"/>
    <n v="84"/>
    <s v="FEMALE"/>
    <s v="Medicare"/>
    <n v="68"/>
    <x v="79"/>
    <n v="2.8"/>
    <s v="No"/>
    <n v="687.38"/>
    <x v="2"/>
    <n v="9"/>
  </r>
  <r>
    <s v="1507"/>
    <d v="2026-02-28T00:00:00"/>
    <d v="1899-12-30T03:05:00"/>
    <x v="4"/>
    <x v="4"/>
    <s v="Patient 1507"/>
    <n v="31"/>
    <s v="FEMALE"/>
    <s v="Medicare"/>
    <n v="81"/>
    <x v="78"/>
    <n v="3"/>
    <s v="No"/>
    <n v="1167.21"/>
    <x v="0"/>
    <n v="3"/>
  </r>
  <r>
    <s v="1508"/>
    <d v="2026-02-28T00:00:00"/>
    <d v="1899-12-30T21:49:00"/>
    <x v="4"/>
    <x v="4"/>
    <s v="Patient 1508"/>
    <n v="52"/>
    <s v="MALE"/>
    <s v="Medicaid"/>
    <n v="99"/>
    <x v="8"/>
    <n v="2.5"/>
    <m/>
    <n v="821.49"/>
    <x v="2"/>
    <n v="9"/>
  </r>
  <r>
    <s v="1500"/>
    <d v="2026-02-28T00:00:00"/>
    <d v="1899-12-30T21:08:00"/>
    <x v="4"/>
    <x v="4"/>
    <s v="Patient 1500"/>
    <n v="44"/>
    <s v="MALE"/>
    <s v="Uninsured"/>
    <n v="50"/>
    <x v="47"/>
    <n v="3.3"/>
    <s v="No"/>
    <n v="848.42"/>
    <x v="2"/>
    <n v="9"/>
  </r>
  <r>
    <s v="1504"/>
    <d v="2026-02-28T00:00:00"/>
    <d v="1899-12-30T12:04:00"/>
    <x v="1"/>
    <x v="1"/>
    <s v="Patient 1504"/>
    <n v="35"/>
    <s v="MALE"/>
    <s v="Private"/>
    <n v="89"/>
    <x v="53"/>
    <m/>
    <s v="No"/>
    <n v="1917.13"/>
    <x v="1"/>
    <n v="3"/>
  </r>
  <r>
    <s v="1502"/>
    <d v="2026-02-28T00:00:00"/>
    <d v="1899-12-30T11:29:00"/>
    <x v="0"/>
    <x v="0"/>
    <s v="Patient 1502"/>
    <n v="71"/>
    <s v="FEMALE"/>
    <s v="Medicaid"/>
    <n v="59"/>
    <x v="49"/>
    <n v="3.7"/>
    <s v="No"/>
    <n v="3400.58"/>
    <x v="1"/>
    <n v="9"/>
  </r>
  <r>
    <s v="1509"/>
    <d v="2026-02-28T00:00:00"/>
    <d v="1899-12-30T13:11:00"/>
    <x v="4"/>
    <x v="4"/>
    <s v="Patient 1509"/>
    <n v="54"/>
    <s v="MALE"/>
    <s v="Medicare"/>
    <n v="94"/>
    <x v="40"/>
    <n v="1.7"/>
    <s v="No"/>
    <n v="933.4"/>
    <x v="1"/>
    <n v="7"/>
  </r>
  <r>
    <s v="1503"/>
    <d v="2026-02-28T00:00:00"/>
    <d v="1899-12-30T08:43:00"/>
    <x v="3"/>
    <x v="3"/>
    <s v="Patient 1503"/>
    <n v="49"/>
    <s v="FEMALE"/>
    <s v="Uninsured"/>
    <n v="91"/>
    <x v="56"/>
    <n v="3.2"/>
    <s v="No"/>
    <n v="907.91"/>
    <x v="1"/>
    <n v="4"/>
  </r>
  <r>
    <s v="1506"/>
    <d v="2026-02-28T00:00:00"/>
    <d v="1899-12-30T04:04:00"/>
    <x v="0"/>
    <x v="0"/>
    <s v="Patient 1506"/>
    <n v="39"/>
    <s v="FEMALE"/>
    <s v="Medicaid"/>
    <n v="83"/>
    <x v="87"/>
    <n v="3.4"/>
    <s v="No"/>
    <n v="3362.57"/>
    <x v="0"/>
    <n v="2"/>
  </r>
  <r>
    <s v="1513"/>
    <d v="2026-03-01T00:00:00"/>
    <d v="1899-12-30T17:49:00"/>
    <x v="4"/>
    <x v="4"/>
    <s v="Patient 1513"/>
    <n v="62"/>
    <s v="FEMALE"/>
    <s v="Medicare"/>
    <n v="88"/>
    <x v="70"/>
    <n v="2.2000000000000002"/>
    <s v="No"/>
    <n v="1071.25"/>
    <x v="2"/>
    <n v="7"/>
  </r>
  <r>
    <s v="1523"/>
    <d v="2026-03-01T00:00:00"/>
    <d v="1899-12-30T20:39:00"/>
    <x v="2"/>
    <x v="2"/>
    <s v="Patient 1523"/>
    <n v="28"/>
    <s v="MALE"/>
    <s v="Private"/>
    <n v="15"/>
    <x v="24"/>
    <n v="2.9"/>
    <s v="No"/>
    <n v="930.95"/>
    <x v="2"/>
    <n v="3"/>
  </r>
  <r>
    <s v="1522"/>
    <d v="2026-03-01T00:00:00"/>
    <d v="1899-12-30T08:58:00"/>
    <x v="1"/>
    <x v="1"/>
    <s v="Patient 1522"/>
    <n v="35"/>
    <s v="MALE"/>
    <s v="Private"/>
    <n v="52"/>
    <x v="51"/>
    <m/>
    <s v="No"/>
    <n v="1292.52"/>
    <x v="1"/>
    <n v="3"/>
  </r>
  <r>
    <s v="1519"/>
    <d v="2026-03-01T00:00:00"/>
    <d v="1899-12-30T18:00:00"/>
    <x v="4"/>
    <x v="4"/>
    <s v="Patient 1519"/>
    <n v="46"/>
    <s v="FEMALE"/>
    <s v="Medicare"/>
    <n v="82"/>
    <x v="41"/>
    <n v="3.7"/>
    <s v="No"/>
    <n v="1132.79"/>
    <x v="2"/>
    <n v="7"/>
  </r>
  <r>
    <s v="1514"/>
    <d v="2026-03-01T00:00:00"/>
    <d v="1899-12-30T09:09:00"/>
    <x v="0"/>
    <x v="0"/>
    <s v="Patient 1514"/>
    <n v="60"/>
    <s v="FEMALE"/>
    <s v="Medicaid"/>
    <n v="59"/>
    <x v="104"/>
    <n v="3.3"/>
    <s v="Yes"/>
    <n v="2336.13"/>
    <x v="1"/>
    <n v="8"/>
  </r>
  <r>
    <s v="1520"/>
    <d v="2026-03-01T00:00:00"/>
    <d v="1899-12-30T17:10:00"/>
    <x v="4"/>
    <x v="4"/>
    <s v="Patient 1520"/>
    <n v="69"/>
    <s v="FEMALE"/>
    <s v="Private"/>
    <n v="95"/>
    <x v="65"/>
    <m/>
    <s v="No"/>
    <n v="890.66"/>
    <x v="2"/>
    <n v="7"/>
  </r>
  <r>
    <s v="1517"/>
    <d v="2026-03-01T00:00:00"/>
    <d v="1899-12-30T09:11:00"/>
    <x v="2"/>
    <x v="2"/>
    <s v="Patient 1517"/>
    <n v="31"/>
    <s v="MALE"/>
    <s v="Private"/>
    <n v="60"/>
    <x v="45"/>
    <n v="3.2"/>
    <s v="No"/>
    <n v="352.29"/>
    <x v="1"/>
    <n v="7"/>
  </r>
  <r>
    <s v="1510"/>
    <d v="2026-03-01T00:00:00"/>
    <d v="1899-12-30T13:24:00"/>
    <x v="4"/>
    <x v="4"/>
    <s v="Patient 1510"/>
    <n v="41"/>
    <s v="MALE"/>
    <s v="Medicare"/>
    <n v="47"/>
    <x v="12"/>
    <n v="3.3"/>
    <s v="No"/>
    <n v="1159.0999999999999"/>
    <x v="1"/>
    <n v="5"/>
  </r>
  <r>
    <s v="1521"/>
    <d v="2026-03-01T00:00:00"/>
    <d v="1899-12-30T21:37:00"/>
    <x v="4"/>
    <x v="4"/>
    <s v="Patient 1521"/>
    <n v="60"/>
    <s v="FEMALE"/>
    <s v="Medicare"/>
    <n v="64"/>
    <x v="81"/>
    <m/>
    <s v="No"/>
    <n v="527.03"/>
    <x v="2"/>
    <n v="7"/>
  </r>
  <r>
    <s v="1516"/>
    <d v="2026-03-01T00:00:00"/>
    <d v="1899-12-30T11:42:00"/>
    <x v="0"/>
    <x v="0"/>
    <s v="Patient 1516"/>
    <n v="50"/>
    <s v="MALE"/>
    <s v="Private"/>
    <n v="87"/>
    <x v="89"/>
    <n v="3.1"/>
    <s v="Yes"/>
    <n v="2866.8"/>
    <x v="1"/>
    <n v="8"/>
  </r>
  <r>
    <s v="1519"/>
    <d v="2026-03-01T00:00:00"/>
    <d v="1899-12-30T18:00:00"/>
    <x v="4"/>
    <x v="4"/>
    <s v="Patient 1519"/>
    <n v="46"/>
    <s v="FEMALE"/>
    <s v="Medicare"/>
    <n v="82"/>
    <x v="41"/>
    <n v="3.7"/>
    <s v="No"/>
    <n v="1132.79"/>
    <x v="2"/>
    <n v="7"/>
  </r>
  <r>
    <s v="1518"/>
    <d v="2026-03-01T00:00:00"/>
    <d v="1899-12-30T13:33:00"/>
    <x v="2"/>
    <x v="2"/>
    <s v="Patient 1518"/>
    <n v="54"/>
    <s v="FEMALE"/>
    <s v="Medicaid"/>
    <n v="42"/>
    <x v="81"/>
    <n v="3.2"/>
    <s v="No"/>
    <n v="1014.05"/>
    <x v="1"/>
    <n v="7"/>
  </r>
  <r>
    <s v="1512"/>
    <d v="2026-03-01T00:00:00"/>
    <d v="1899-12-30T14:08:00"/>
    <x v="4"/>
    <x v="4"/>
    <s v="Patient 1512"/>
    <n v="22"/>
    <s v="MALE"/>
    <s v="Private"/>
    <n v="50"/>
    <x v="18"/>
    <n v="2.8"/>
    <s v="No"/>
    <n v="1106.02"/>
    <x v="1"/>
    <n v="5"/>
  </r>
  <r>
    <s v="1515"/>
    <d v="2026-03-01T00:00:00"/>
    <d v="1899-12-30T14:00:00"/>
    <x v="1"/>
    <x v="1"/>
    <s v="Patient 1515"/>
    <n v="61"/>
    <s v="FEMALE"/>
    <s v="Medicare"/>
    <n v="32"/>
    <x v="68"/>
    <n v="4.5999999999999996"/>
    <s v="No"/>
    <n v="2080.86"/>
    <x v="1"/>
    <n v="3"/>
  </r>
  <r>
    <s v="1511"/>
    <d v="2026-03-01T00:00:00"/>
    <d v="1899-12-30T14:00:00"/>
    <x v="2"/>
    <x v="2"/>
    <s v="Patient 1511"/>
    <n v="41"/>
    <s v="FEMALE"/>
    <s v="Medicaid"/>
    <n v="70"/>
    <x v="5"/>
    <n v="2.6"/>
    <s v="No"/>
    <n v="577"/>
    <x v="1"/>
    <n v="7"/>
  </r>
  <r>
    <s v="1532"/>
    <d v="2026-03-02T00:00:00"/>
    <d v="1899-12-30T17:55:00"/>
    <x v="4"/>
    <x v="4"/>
    <s v="Patient 1532"/>
    <n v="50"/>
    <s v="FEMALE"/>
    <s v="Private"/>
    <n v="51"/>
    <x v="9"/>
    <n v="3.3"/>
    <s v="No"/>
    <n v="783.82"/>
    <x v="2"/>
    <n v="11"/>
  </r>
  <r>
    <s v="1528"/>
    <d v="2026-03-02T00:00:00"/>
    <d v="1899-12-30T07:42:00"/>
    <x v="4"/>
    <x v="4"/>
    <s v="Patient 1528"/>
    <n v="16"/>
    <s v="MALE"/>
    <s v="Private"/>
    <n v="44"/>
    <x v="94"/>
    <n v="3.6"/>
    <s v="No"/>
    <n v="433.22"/>
    <x v="1"/>
    <n v="5"/>
  </r>
  <r>
    <s v="1533"/>
    <d v="2026-03-02T00:00:00"/>
    <d v="1899-12-30T16:09:00"/>
    <x v="4"/>
    <x v="4"/>
    <s v="Patient 1533"/>
    <n v="76"/>
    <s v="MALE"/>
    <s v="Uninsured"/>
    <n v="50"/>
    <x v="45"/>
    <n v="4.2"/>
    <s v="Yes"/>
    <n v="627.97"/>
    <x v="2"/>
    <n v="11"/>
  </r>
  <r>
    <s v="1531"/>
    <d v="2026-03-02T00:00:00"/>
    <d v="1899-12-30T23:19:00"/>
    <x v="2"/>
    <x v="2"/>
    <s v="Patient 1531"/>
    <n v="59"/>
    <s v="MALE"/>
    <s v="Medicaid"/>
    <n v="40"/>
    <x v="9"/>
    <m/>
    <s v="No"/>
    <n v="439.03"/>
    <x v="2"/>
    <n v="3"/>
  </r>
  <r>
    <s v="1534"/>
    <d v="2026-03-02T00:00:00"/>
    <d v="1899-12-30T15:31:00"/>
    <x v="4"/>
    <x v="4"/>
    <s v="Patient 1534"/>
    <n v="20"/>
    <s v="MALE"/>
    <s v="Medicare"/>
    <n v="34"/>
    <x v="44"/>
    <n v="4.5"/>
    <s v="No"/>
    <n v="857.97"/>
    <x v="2"/>
    <n v="11"/>
  </r>
  <r>
    <s v="1529"/>
    <d v="2026-03-02T00:00:00"/>
    <d v="1899-12-30T20:48:00"/>
    <x v="1"/>
    <x v="1"/>
    <s v="Patient 1529"/>
    <n v="22"/>
    <s v="MALE"/>
    <s v="Medicare"/>
    <n v="103"/>
    <x v="30"/>
    <n v="2.7"/>
    <s v="No"/>
    <n v="2274.6799999999998"/>
    <x v="2"/>
    <n v="7"/>
  </r>
  <r>
    <s v="1525"/>
    <d v="2026-03-02T00:00:00"/>
    <d v="1899-12-30T17:00:00"/>
    <x v="2"/>
    <x v="2"/>
    <s v="Patient 1525"/>
    <n v="34"/>
    <s v="MALE"/>
    <s v="Medicare"/>
    <n v="20"/>
    <x v="78"/>
    <m/>
    <s v="No"/>
    <n v="604.26"/>
    <x v="2"/>
    <n v="3"/>
  </r>
  <r>
    <s v="1530"/>
    <d v="2026-03-02T00:00:00"/>
    <d v="1899-12-30T16:25:00"/>
    <x v="2"/>
    <x v="2"/>
    <s v="Patient 1530"/>
    <n v="63"/>
    <s v="MALE"/>
    <s v="Private"/>
    <n v="22"/>
    <x v="22"/>
    <n v="4.3"/>
    <s v="No"/>
    <n v="609.4"/>
    <x v="2"/>
    <n v="3"/>
  </r>
  <r>
    <s v="1524"/>
    <d v="2026-03-02T00:00:00"/>
    <d v="1899-12-30T13:57:00"/>
    <x v="4"/>
    <x v="4"/>
    <s v="Patient 1524"/>
    <n v="9"/>
    <s v="FEMALE"/>
    <s v="Medicare"/>
    <n v="42"/>
    <x v="12"/>
    <n v="3.1"/>
    <s v="No"/>
    <n v="996.52"/>
    <x v="1"/>
    <n v="5"/>
  </r>
  <r>
    <s v="1527"/>
    <d v="2026-03-02T00:00:00"/>
    <d v="1899-12-30T19:50:00"/>
    <x v="2"/>
    <x v="2"/>
    <s v="Patient 1527"/>
    <n v="45"/>
    <s v="MALE"/>
    <s v="Medicare"/>
    <n v="18"/>
    <x v="22"/>
    <n v="3.5"/>
    <s v="No"/>
    <n v="685.7"/>
    <x v="2"/>
    <n v="3"/>
  </r>
  <r>
    <s v="1526"/>
    <d v="2026-03-02T00:00:00"/>
    <d v="1899-12-30T21:23:00"/>
    <x v="3"/>
    <x v="3"/>
    <s v="Patient 1526"/>
    <n v="48"/>
    <s v="MALE"/>
    <s v="Private"/>
    <n v="83"/>
    <x v="53"/>
    <n v="3.3"/>
    <s v="No"/>
    <n v="1510.81"/>
    <x v="2"/>
    <n v="5"/>
  </r>
  <r>
    <s v="1535"/>
    <d v="2026-03-03T00:00:00"/>
    <d v="1899-12-30T01:02:00"/>
    <x v="2"/>
    <x v="2"/>
    <s v="Patient 1535"/>
    <n v="19"/>
    <s v="MALE"/>
    <s v="Private"/>
    <n v="34"/>
    <x v="50"/>
    <n v="4.3"/>
    <s v="No"/>
    <n v="530.71"/>
    <x v="0"/>
    <n v="3"/>
  </r>
  <r>
    <s v="1543"/>
    <d v="2026-03-03T00:00:00"/>
    <d v="1899-12-30T11:47:00"/>
    <x v="4"/>
    <x v="4"/>
    <s v="Patient 1543"/>
    <n v="27"/>
    <s v="FEMALE"/>
    <s v="Medicaid"/>
    <n v="51"/>
    <x v="12"/>
    <n v="3.8"/>
    <s v="No"/>
    <n v="837.09"/>
    <x v="1"/>
    <n v="5"/>
  </r>
  <r>
    <s v="1541"/>
    <d v="2026-03-03T00:00:00"/>
    <d v="1899-12-30T09:54:00"/>
    <x v="3"/>
    <x v="3"/>
    <s v="Patient 1541"/>
    <n v="7"/>
    <s v="MALE"/>
    <s v="Medicare"/>
    <n v="48"/>
    <x v="50"/>
    <n v="3.4"/>
    <s v="No"/>
    <n v="1554.75"/>
    <x v="1"/>
    <n v="4"/>
  </r>
  <r>
    <s v="1536"/>
    <d v="2026-03-03T00:00:00"/>
    <d v="1899-12-30T16:53:00"/>
    <x v="4"/>
    <x v="4"/>
    <s v="Patient 1536"/>
    <n v="119"/>
    <s v="FEMALE"/>
    <s v="Medicaid"/>
    <n v="85"/>
    <x v="37"/>
    <n v="2.8"/>
    <s v="No"/>
    <n v="623.75"/>
    <x v="2"/>
    <n v="11"/>
  </r>
  <r>
    <s v="1537"/>
    <d v="2026-03-03T00:00:00"/>
    <d v="1899-12-30T08:03:00"/>
    <x v="2"/>
    <x v="2"/>
    <s v="Patient 1537"/>
    <n v="83"/>
    <s v="FEMALE"/>
    <s v="Medicaid"/>
    <n v="9"/>
    <x v="43"/>
    <n v="3.7"/>
    <s v="No"/>
    <n v="631.66999999999996"/>
    <x v="1"/>
    <n v="6"/>
  </r>
  <r>
    <s v="1539"/>
    <d v="2026-03-03T00:00:00"/>
    <d v="1899-12-30T18:47:00"/>
    <x v="0"/>
    <x v="0"/>
    <s v="Patient 1539"/>
    <n v="21"/>
    <s v="FEMALE"/>
    <s v="Medicare"/>
    <n v="62"/>
    <x v="35"/>
    <n v="3.5"/>
    <s v="No"/>
    <n v="3386.91"/>
    <x v="2"/>
    <n v="4"/>
  </r>
  <r>
    <s v="1542"/>
    <d v="2026-03-03T00:00:00"/>
    <d v="1899-12-30T13:10:00"/>
    <x v="4"/>
    <x v="4"/>
    <s v="Patient 1542"/>
    <n v="10"/>
    <s v="MALE"/>
    <s v="Medicare"/>
    <n v="55"/>
    <x v="7"/>
    <n v="4.5"/>
    <m/>
    <n v="807.03"/>
    <x v="1"/>
    <n v="5"/>
  </r>
  <r>
    <s v="1540"/>
    <d v="2026-03-03T00:00:00"/>
    <d v="1899-12-30T17:05:00"/>
    <x v="2"/>
    <x v="2"/>
    <s v="Patient 1540"/>
    <n v="57"/>
    <s v="MALE"/>
    <s v="Medicare"/>
    <n v="32"/>
    <x v="93"/>
    <n v="4.3"/>
    <s v="No"/>
    <n v="701.5"/>
    <x v="2"/>
    <n v="5"/>
  </r>
  <r>
    <s v="1538"/>
    <d v="2026-03-03T00:00:00"/>
    <d v="1899-12-30T17:48:00"/>
    <x v="4"/>
    <x v="4"/>
    <s v="Patient 1538"/>
    <n v="31"/>
    <s v="FEMALE"/>
    <s v="Medicaid"/>
    <n v="63"/>
    <x v="56"/>
    <m/>
    <s v="No"/>
    <n v="854.63"/>
    <x v="2"/>
    <n v="11"/>
  </r>
  <r>
    <s v="1545"/>
    <d v="2026-03-04T00:00:00"/>
    <d v="1899-12-30T17:16:00"/>
    <x v="3"/>
    <x v="3"/>
    <s v="Patient 1545"/>
    <n v="48"/>
    <s v="FEMALE"/>
    <s v="Medicaid"/>
    <n v="76"/>
    <x v="22"/>
    <n v="3.7"/>
    <s v="No"/>
    <n v="2389.2399999999998"/>
    <x v="2"/>
    <n v="3"/>
  </r>
  <r>
    <s v="1544"/>
    <d v="2026-03-04T00:00:00"/>
    <d v="1899-12-30T07:36:00"/>
    <x v="0"/>
    <x v="0"/>
    <s v="Patient 1544"/>
    <n v="6"/>
    <s v="MALE"/>
    <s v="Medicaid"/>
    <n v="72"/>
    <x v="30"/>
    <n v="3.2"/>
    <s v="No"/>
    <n v="2161.6799999999998"/>
    <x v="1"/>
    <n v="10"/>
  </r>
  <r>
    <s v="1546"/>
    <d v="2026-03-04T00:00:00"/>
    <d v="1899-12-30T19:04:00"/>
    <x v="0"/>
    <x v="0"/>
    <s v="Patient 1546"/>
    <n v="63"/>
    <s v="FEMALE"/>
    <s v="Private"/>
    <n v="77"/>
    <x v="37"/>
    <n v="2.1"/>
    <s v="Yes"/>
    <n v="2956.91"/>
    <x v="2"/>
    <n v="7"/>
  </r>
  <r>
    <s v="1548"/>
    <d v="2026-03-04T00:00:00"/>
    <d v="1899-12-30T17:51:00"/>
    <x v="3"/>
    <x v="3"/>
    <s v="Patient 1548"/>
    <n v="44"/>
    <s v="MALE"/>
    <s v="Uninsured"/>
    <n v="87"/>
    <x v="46"/>
    <n v="2.9"/>
    <s v="No"/>
    <n v="1472.07"/>
    <x v="2"/>
    <n v="3"/>
  </r>
  <r>
    <s v="1547"/>
    <d v="2026-03-04T00:00:00"/>
    <d v="1899-12-30T13:01:00"/>
    <x v="4"/>
    <x v="4"/>
    <s v="Patient 1547"/>
    <n v="54"/>
    <s v="MALE"/>
    <s v="Private"/>
    <n v="58"/>
    <x v="69"/>
    <n v="3.2"/>
    <s v="No"/>
    <n v="797.81"/>
    <x v="1"/>
    <n v="7"/>
  </r>
  <r>
    <s v="1549"/>
    <d v="2026-03-04T00:00:00"/>
    <d v="1899-12-30T14:24:00"/>
    <x v="0"/>
    <x v="0"/>
    <s v="Patient 1549"/>
    <n v="37"/>
    <s v="FEMALE"/>
    <s v="Medicaid"/>
    <n v="35"/>
    <x v="80"/>
    <n v="4.0999999999999996"/>
    <s v="No"/>
    <n v="1861.97"/>
    <x v="1"/>
    <n v="10"/>
  </r>
  <r>
    <s v="1558"/>
    <d v="2026-03-05T00:00:00"/>
    <d v="1899-12-30T11:12:00"/>
    <x v="4"/>
    <x v="4"/>
    <s v="Patient 1558"/>
    <n v="26"/>
    <s v="FEMALE"/>
    <s v="Medicaid"/>
    <n v="61"/>
    <x v="5"/>
    <n v="3.4"/>
    <s v="No"/>
    <n v="956.21"/>
    <x v="1"/>
    <n v="6"/>
  </r>
  <r>
    <s v="1559"/>
    <d v="2026-03-05T00:00:00"/>
    <d v="1899-12-30T22:28:00"/>
    <x v="4"/>
    <x v="4"/>
    <s v="Patient 1559"/>
    <n v="68"/>
    <s v="FEMALE"/>
    <s v="Private"/>
    <n v="80"/>
    <x v="6"/>
    <n v="3"/>
    <s v="No"/>
    <n v="933.86"/>
    <x v="2"/>
    <n v="8"/>
  </r>
  <r>
    <s v="1551"/>
    <d v="2026-03-05T00:00:00"/>
    <d v="1899-12-30T18:41:00"/>
    <x v="0"/>
    <x v="0"/>
    <s v="Patient 1551"/>
    <n v="67"/>
    <s v="MALE"/>
    <s v="Medicare"/>
    <n v="71"/>
    <x v="86"/>
    <n v="3.4"/>
    <s v="No"/>
    <n v="3007.27"/>
    <x v="2"/>
    <n v="5"/>
  </r>
  <r>
    <s v="1553"/>
    <d v="2026-03-05T00:00:00"/>
    <d v="1899-12-30T19:25:00"/>
    <x v="1"/>
    <x v="1"/>
    <s v="Patient 1553"/>
    <n v="42"/>
    <s v="FEMALE"/>
    <s v="Medicaid"/>
    <n v="49"/>
    <x v="44"/>
    <n v="3.2"/>
    <s v="No"/>
    <n v="1317.24"/>
    <x v="2"/>
    <n v="7"/>
  </r>
  <r>
    <s v="1554"/>
    <d v="2026-03-05T00:00:00"/>
    <d v="1899-12-30T18:58:00"/>
    <x v="2"/>
    <x v="2"/>
    <s v="Patient 1554"/>
    <n v="58"/>
    <s v="FEMALE"/>
    <s v="Medicaid"/>
    <n v="35"/>
    <x v="75"/>
    <m/>
    <s v="No"/>
    <n v="842.29"/>
    <x v="2"/>
    <n v="7"/>
  </r>
  <r>
    <s v="1556"/>
    <d v="2026-03-05T00:00:00"/>
    <d v="1899-12-30T19:51:00"/>
    <x v="1"/>
    <x v="1"/>
    <s v="Patient 1556"/>
    <n v="46"/>
    <s v="MALE"/>
    <s v="Medicare"/>
    <n v="31"/>
    <x v="70"/>
    <n v="4"/>
    <s v="Yes"/>
    <n v="1612.72"/>
    <x v="2"/>
    <n v="7"/>
  </r>
  <r>
    <s v="1552"/>
    <d v="2026-03-05T00:00:00"/>
    <d v="1899-12-30T17:28:00"/>
    <x v="0"/>
    <x v="0"/>
    <s v="Patient 1552"/>
    <n v="32"/>
    <s v="MALE"/>
    <s v="Medicaid"/>
    <n v="69"/>
    <x v="1"/>
    <n v="2.2999999999999998"/>
    <s v="No"/>
    <n v="2605.42"/>
    <x v="2"/>
    <n v="5"/>
  </r>
  <r>
    <s v="1550"/>
    <d v="2026-03-05T00:00:00"/>
    <d v="1899-12-30T16:01:00"/>
    <x v="4"/>
    <x v="4"/>
    <s v="Patient 1550"/>
    <n v="43"/>
    <s v="FEMALE"/>
    <s v="Medicare"/>
    <n v="50"/>
    <x v="38"/>
    <n v="4.5"/>
    <s v="No"/>
    <n v="1145.93"/>
    <x v="2"/>
    <n v="8"/>
  </r>
  <r>
    <s v="1557"/>
    <d v="2026-03-05T00:00:00"/>
    <d v="1899-12-30T16:39:00"/>
    <x v="1"/>
    <x v="1"/>
    <s v="Patient 1557"/>
    <n v="37"/>
    <s v="MALE"/>
    <s v="Private"/>
    <n v="46"/>
    <x v="53"/>
    <n v="4.2"/>
    <s v="No"/>
    <n v="1875.91"/>
    <x v="2"/>
    <n v="7"/>
  </r>
  <r>
    <s v="1555"/>
    <d v="2026-03-05T00:00:00"/>
    <d v="1899-12-30T15:15:00"/>
    <x v="4"/>
    <x v="4"/>
    <s v="Patient 1555"/>
    <n v="57"/>
    <s v="MALE"/>
    <s v="Medicare"/>
    <n v="33"/>
    <x v="30"/>
    <n v="3.9"/>
    <s v="No"/>
    <n v="822.02"/>
    <x v="2"/>
    <n v="8"/>
  </r>
  <r>
    <s v="1562"/>
    <d v="2026-03-06T00:00:00"/>
    <d v="1899-12-30T17:48:00"/>
    <x v="4"/>
    <x v="4"/>
    <s v="Patient 1562"/>
    <n v="48"/>
    <s v="MALE"/>
    <s v="Private"/>
    <n v="60"/>
    <x v="17"/>
    <n v="3.3"/>
    <s v="No"/>
    <n v="915.07"/>
    <x v="2"/>
    <n v="11"/>
  </r>
  <r>
    <s v="1564"/>
    <d v="2026-03-06T00:00:00"/>
    <d v="1899-12-30T08:01:00"/>
    <x v="2"/>
    <x v="2"/>
    <s v="Patient 1564"/>
    <n v="66"/>
    <s v="FEMALE"/>
    <s v="Private"/>
    <n v="19"/>
    <x v="53"/>
    <m/>
    <s v="No"/>
    <n v="697.63"/>
    <x v="1"/>
    <n v="7"/>
  </r>
  <r>
    <s v="1561"/>
    <d v="2026-03-06T00:00:00"/>
    <d v="1899-12-30T17:32:00"/>
    <x v="4"/>
    <x v="4"/>
    <s v="Patient 1561"/>
    <n v="41"/>
    <s v="FEMALE"/>
    <s v="Private"/>
    <n v="76"/>
    <x v="102"/>
    <m/>
    <s v="No"/>
    <n v="745.39"/>
    <x v="2"/>
    <n v="11"/>
  </r>
  <r>
    <s v="1567"/>
    <d v="2026-03-06T00:00:00"/>
    <d v="1899-12-30T12:14:00"/>
    <x v="4"/>
    <x v="4"/>
    <s v="Patient 1567"/>
    <n v="45"/>
    <s v="FEMALE"/>
    <s v="Medicare"/>
    <n v="29"/>
    <x v="18"/>
    <n v="3.9"/>
    <s v="No"/>
    <n v="1351.21"/>
    <x v="1"/>
    <n v="6"/>
  </r>
  <r>
    <s v="1569"/>
    <d v="2026-03-06T00:00:00"/>
    <d v="1899-12-30T02:31:00"/>
    <x v="1"/>
    <x v="1"/>
    <s v="Patient 1569"/>
    <n v="26"/>
    <s v="FEMALE"/>
    <s v="Medicaid"/>
    <n v="31"/>
    <x v="57"/>
    <n v="4.5"/>
    <m/>
    <n v="2185.08"/>
    <x v="0"/>
    <n v="5"/>
  </r>
  <r>
    <s v="1565"/>
    <d v="2026-03-06T00:00:00"/>
    <d v="1899-12-30T21:43:00"/>
    <x v="4"/>
    <x v="4"/>
    <s v="Patient 1565"/>
    <n v="17"/>
    <s v="FEMALE"/>
    <s v="Medicaid"/>
    <n v="62"/>
    <x v="5"/>
    <n v="2.9"/>
    <s v="No"/>
    <n v="1198.6099999999999"/>
    <x v="2"/>
    <n v="11"/>
  </r>
  <r>
    <s v="1566"/>
    <d v="2026-03-06T00:00:00"/>
    <d v="1899-12-30T03:55:00"/>
    <x v="1"/>
    <x v="1"/>
    <s v="Patient 1566"/>
    <n v="37"/>
    <s v="FEMALE"/>
    <s v="Private"/>
    <n v="31"/>
    <x v="32"/>
    <m/>
    <s v="No"/>
    <n v="2453.83"/>
    <x v="0"/>
    <n v="5"/>
  </r>
  <r>
    <s v="1568"/>
    <d v="2026-03-06T00:00:00"/>
    <d v="1899-12-30T21:09:00"/>
    <x v="1"/>
    <x v="1"/>
    <s v="Patient 1568"/>
    <n v="78"/>
    <s v="FEMALE"/>
    <s v="Medicaid"/>
    <n v="71"/>
    <x v="90"/>
    <n v="3"/>
    <s v="No"/>
    <n v="2154.4699999999998"/>
    <x v="2"/>
    <n v="6"/>
  </r>
  <r>
    <s v="1560"/>
    <d v="2026-03-06T00:00:00"/>
    <d v="1899-12-30T08:47:00"/>
    <x v="0"/>
    <x v="0"/>
    <s v="Patient 1560"/>
    <n v="33"/>
    <s v="FEMALE"/>
    <s v="Private"/>
    <n v="66"/>
    <x v="37"/>
    <n v="4.0999999999999996"/>
    <s v="No"/>
    <n v="2932.97"/>
    <x v="1"/>
    <n v="9"/>
  </r>
  <r>
    <s v="1563"/>
    <d v="2026-03-06T00:00:00"/>
    <d v="1899-12-30T17:41:00"/>
    <x v="4"/>
    <x v="4"/>
    <s v="Patient 1563"/>
    <n v="29"/>
    <s v="MALE"/>
    <s v="Medicare"/>
    <n v="39"/>
    <x v="100"/>
    <n v="4.9000000000000004"/>
    <s v="No"/>
    <n v="999.85"/>
    <x v="2"/>
    <n v="11"/>
  </r>
  <r>
    <s v="1574"/>
    <d v="2026-03-07T00:00:00"/>
    <d v="1899-12-30T19:58:00"/>
    <x v="2"/>
    <x v="2"/>
    <s v="Patient 1574"/>
    <n v="54"/>
    <s v="FEMALE"/>
    <s v="Medicaid"/>
    <n v="45"/>
    <x v="20"/>
    <m/>
    <s v="No"/>
    <n v="599.70000000000005"/>
    <x v="2"/>
    <n v="3"/>
  </r>
  <r>
    <s v="1575"/>
    <d v="2026-03-07T00:00:00"/>
    <d v="1899-12-30T19:48:00"/>
    <x v="2"/>
    <x v="2"/>
    <s v="Patient 1575"/>
    <n v="29"/>
    <s v="MALE"/>
    <s v="Medicare"/>
    <n v="32"/>
    <x v="25"/>
    <n v="4.4000000000000004"/>
    <s v="No"/>
    <n v="540.62"/>
    <x v="2"/>
    <n v="3"/>
  </r>
  <r>
    <s v="1576"/>
    <d v="2026-03-07T00:00:00"/>
    <d v="1899-12-30T12:57:00"/>
    <x v="3"/>
    <x v="3"/>
    <s v="Patient 1576"/>
    <n v="2"/>
    <s v="FEMALE"/>
    <s v="Medicaid"/>
    <n v="52"/>
    <x v="24"/>
    <n v="3.4"/>
    <s v="No"/>
    <n v="1439.93"/>
    <x v="1"/>
    <n v="4"/>
  </r>
  <r>
    <s v="1573"/>
    <d v="2026-03-07T00:00:00"/>
    <d v="1899-12-30T18:12:00"/>
    <x v="2"/>
    <x v="2"/>
    <s v="Patient 1573"/>
    <n v="31"/>
    <s v="FEMALE"/>
    <s v="Medicaid"/>
    <n v="62"/>
    <x v="12"/>
    <n v="3.6"/>
    <s v="No"/>
    <n v="714.28"/>
    <x v="2"/>
    <n v="3"/>
  </r>
  <r>
    <s v="1579"/>
    <d v="2026-03-07T00:00:00"/>
    <d v="1899-12-30T14:24:00"/>
    <x v="4"/>
    <x v="4"/>
    <s v="Patient 1579"/>
    <n v="13"/>
    <s v="FEMALE"/>
    <s v="Uninsured"/>
    <n v="52"/>
    <x v="57"/>
    <n v="3.4"/>
    <s v="No"/>
    <n v="958.24"/>
    <x v="1"/>
    <n v="4"/>
  </r>
  <r>
    <s v="1572"/>
    <d v="2026-03-07T00:00:00"/>
    <d v="1899-12-30T20:44:00"/>
    <x v="4"/>
    <x v="4"/>
    <s v="Patient 1572"/>
    <n v="35"/>
    <s v="FEMALE"/>
    <s v="Medicare"/>
    <n v="97"/>
    <x v="25"/>
    <n v="3.8"/>
    <s v="No"/>
    <m/>
    <x v="2"/>
    <n v="10"/>
  </r>
  <r>
    <s v="1570"/>
    <d v="2026-03-07T00:00:00"/>
    <d v="1899-12-30T13:04:00"/>
    <x v="4"/>
    <x v="4"/>
    <s v="Patient 1570"/>
    <n v="60"/>
    <s v="MALE"/>
    <s v="Medicaid"/>
    <n v="96"/>
    <x v="94"/>
    <n v="3.2"/>
    <s v="No"/>
    <n v="959.99"/>
    <x v="1"/>
    <n v="4"/>
  </r>
  <r>
    <s v="1577"/>
    <d v="2026-03-07T00:00:00"/>
    <d v="1899-12-30T16:12:00"/>
    <x v="0"/>
    <x v="0"/>
    <s v="Patient 1577"/>
    <n v="80"/>
    <s v="FEMALE"/>
    <s v="Uninsured"/>
    <n v="95"/>
    <x v="86"/>
    <n v="3.6"/>
    <s v="No"/>
    <n v="2317.13"/>
    <x v="2"/>
    <n v="5"/>
  </r>
  <r>
    <s v="1571"/>
    <d v="2026-03-07T00:00:00"/>
    <d v="1899-12-30T08:14:00"/>
    <x v="3"/>
    <x v="3"/>
    <s v="Patient 1571"/>
    <n v="43"/>
    <s v="FEMALE"/>
    <s v="Medicare"/>
    <n v="59"/>
    <x v="26"/>
    <m/>
    <s v="No"/>
    <n v="1890.53"/>
    <x v="1"/>
    <n v="4"/>
  </r>
  <r>
    <s v="1578"/>
    <d v="2026-03-07T00:00:00"/>
    <d v="1899-12-30T16:48:00"/>
    <x v="3"/>
    <x v="3"/>
    <s v="Patient 1578"/>
    <n v="46"/>
    <s v="MALE"/>
    <s v="Uninsured"/>
    <n v="81"/>
    <x v="78"/>
    <n v="3.2"/>
    <m/>
    <n v="1071.58"/>
    <x v="2"/>
    <n v="5"/>
  </r>
  <r>
    <s v="1587"/>
    <d v="2026-03-08T00:00:00"/>
    <d v="1899-12-30T21:46:00"/>
    <x v="1"/>
    <x v="1"/>
    <s v="Patient 1587"/>
    <n v="94"/>
    <s v="MALE"/>
    <s v="Uninsured"/>
    <n v="45"/>
    <x v="32"/>
    <n v="3.1"/>
    <s v="No"/>
    <n v="1864.81"/>
    <x v="2"/>
    <n v="4"/>
  </r>
  <r>
    <s v="1582"/>
    <d v="2026-03-08T00:00:00"/>
    <d v="1899-12-30T20:00:00"/>
    <x v="4"/>
    <x v="4"/>
    <s v="Patient 1582"/>
    <n v="33"/>
    <s v="MALE"/>
    <s v="Medicare"/>
    <n v="51"/>
    <x v="91"/>
    <m/>
    <s v="No"/>
    <n v="675.2"/>
    <x v="2"/>
    <n v="9"/>
  </r>
  <r>
    <s v="1585"/>
    <d v="2026-03-08T00:00:00"/>
    <d v="1899-12-30T14:41:00"/>
    <x v="0"/>
    <x v="0"/>
    <s v="Patient 1585"/>
    <n v="76"/>
    <s v="MALE"/>
    <s v="Medicaid"/>
    <n v="55"/>
    <x v="10"/>
    <n v="3"/>
    <s v="No"/>
    <n v="2481.9699999999998"/>
    <x v="1"/>
    <n v="8"/>
  </r>
  <r>
    <s v="1580"/>
    <d v="2026-03-08T00:00:00"/>
    <d v="1899-12-30T16:19:00"/>
    <x v="4"/>
    <x v="4"/>
    <s v="Patient 1580"/>
    <n v="38"/>
    <s v="MALE"/>
    <s v="Private"/>
    <n v="65"/>
    <x v="7"/>
    <n v="3.4"/>
    <s v="No"/>
    <n v="1008.37"/>
    <x v="2"/>
    <n v="9"/>
  </r>
  <r>
    <s v="1581"/>
    <d v="2026-03-08T00:00:00"/>
    <d v="1899-12-30T05:03:00"/>
    <x v="3"/>
    <x v="3"/>
    <s v="Patient 1581"/>
    <n v="81"/>
    <s v="MALE"/>
    <s v="Medicare"/>
    <n v="58"/>
    <x v="12"/>
    <n v="2.4"/>
    <s v="No"/>
    <n v="1346.41"/>
    <x v="0"/>
    <n v="1"/>
  </r>
  <r>
    <s v="1590"/>
    <d v="2026-03-08T00:00:00"/>
    <d v="1899-12-30T17:54:00"/>
    <x v="2"/>
    <x v="2"/>
    <s v="Patient 1590"/>
    <n v="32"/>
    <s v="MALE"/>
    <s v="Private"/>
    <n v="62"/>
    <x v="23"/>
    <n v="3.6"/>
    <s v="No"/>
    <n v="748.49"/>
    <x v="2"/>
    <n v="3"/>
  </r>
  <r>
    <s v="1583"/>
    <d v="2026-03-08T00:00:00"/>
    <d v="1899-12-30T18:19:00"/>
    <x v="3"/>
    <x v="3"/>
    <s v="Patient 1583"/>
    <n v="29"/>
    <s v="MALE"/>
    <s v="Private"/>
    <n v="88"/>
    <x v="56"/>
    <n v="2.2999999999999998"/>
    <s v="Yes"/>
    <n v="1791.34"/>
    <x v="2"/>
    <n v="3"/>
  </r>
  <r>
    <s v="1592"/>
    <d v="2026-03-08T00:00:00"/>
    <d v="1899-12-30T23:51:00"/>
    <x v="2"/>
    <x v="2"/>
    <s v="Patient 1592"/>
    <n v="16"/>
    <s v="FEMALE"/>
    <s v="Medicare"/>
    <n v="5"/>
    <x v="68"/>
    <n v="3.2"/>
    <s v="No"/>
    <n v="422.25"/>
    <x v="2"/>
    <n v="3"/>
  </r>
  <r>
    <s v="1584"/>
    <d v="2026-03-08T00:00:00"/>
    <d v="1899-12-30T17:08:00"/>
    <x v="1"/>
    <x v="1"/>
    <s v="Patient 1584"/>
    <n v="53"/>
    <s v="MALE"/>
    <s v="Uninsured"/>
    <n v="55"/>
    <x v="57"/>
    <n v="3.6"/>
    <s v="No"/>
    <n v="1970.03"/>
    <x v="2"/>
    <n v="4"/>
  </r>
  <r>
    <s v="1589"/>
    <d v="2026-03-08T00:00:00"/>
    <d v="1899-12-30T22:30:00"/>
    <x v="4"/>
    <x v="4"/>
    <s v="Patient 1589"/>
    <n v="87"/>
    <s v="MALE"/>
    <s v="Private"/>
    <n v="68"/>
    <x v="62"/>
    <n v="3.1"/>
    <s v="No"/>
    <n v="651.28"/>
    <x v="2"/>
    <n v="9"/>
  </r>
  <r>
    <s v="1588"/>
    <d v="2026-03-08T00:00:00"/>
    <d v="1899-12-30T18:46:00"/>
    <x v="3"/>
    <x v="3"/>
    <s v="Patient 1588"/>
    <n v="11"/>
    <s v="MALE"/>
    <s v="Uninsured"/>
    <n v="86"/>
    <x v="7"/>
    <n v="2.9"/>
    <s v="No"/>
    <n v="1431.32"/>
    <x v="2"/>
    <n v="3"/>
  </r>
  <r>
    <s v="1591"/>
    <d v="2026-03-08T00:00:00"/>
    <d v="1899-12-30T18:06:00"/>
    <x v="2"/>
    <x v="2"/>
    <s v="Patient 1591"/>
    <n v="88"/>
    <s v="FEMALE"/>
    <s v="Medicare"/>
    <n v="67"/>
    <x v="24"/>
    <n v="3.2"/>
    <s v="No"/>
    <n v="887.08"/>
    <x v="2"/>
    <n v="3"/>
  </r>
  <r>
    <s v="1586"/>
    <d v="2026-03-08T00:00:00"/>
    <d v="1899-12-30T16:14:00"/>
    <x v="0"/>
    <x v="0"/>
    <s v="Patient 1586"/>
    <n v="40"/>
    <s v="FEMALE"/>
    <s v="Medicare"/>
    <n v="87"/>
    <x v="74"/>
    <n v="2.4"/>
    <s v="No"/>
    <n v="2398.6"/>
    <x v="2"/>
    <n v="7"/>
  </r>
  <r>
    <s v="1601"/>
    <d v="2026-03-09T00:00:00"/>
    <d v="1899-12-30T04:27:00"/>
    <x v="4"/>
    <x v="4"/>
    <s v="Patient 1601"/>
    <n v="71"/>
    <s v="MALE"/>
    <s v="Medicare"/>
    <n v="39"/>
    <x v="64"/>
    <n v="3.6"/>
    <s v="No"/>
    <n v="572.16999999999996"/>
    <x v="0"/>
    <n v="6"/>
  </r>
  <r>
    <s v="1595"/>
    <d v="2026-03-09T00:00:00"/>
    <d v="1899-12-30T11:06:00"/>
    <x v="2"/>
    <x v="2"/>
    <s v="Patient 1595"/>
    <n v="36"/>
    <s v="MALE"/>
    <s v="Private"/>
    <n v="57"/>
    <x v="6"/>
    <n v="3.9"/>
    <s v="No"/>
    <n v="613.14"/>
    <x v="1"/>
    <n v="4"/>
  </r>
  <r>
    <s v="1594"/>
    <d v="2026-03-09T00:00:00"/>
    <d v="1899-12-30T07:23:00"/>
    <x v="4"/>
    <x v="4"/>
    <s v="Patient 1594"/>
    <n v="84"/>
    <s v="FEMALE"/>
    <s v="Private"/>
    <n v="59"/>
    <x v="22"/>
    <m/>
    <s v="No"/>
    <n v="821.34"/>
    <x v="1"/>
    <n v="5"/>
  </r>
  <r>
    <s v="1602"/>
    <d v="2026-03-09T00:00:00"/>
    <d v="1899-12-30T20:03:00"/>
    <x v="4"/>
    <x v="4"/>
    <s v="Patient 1602"/>
    <n v="68"/>
    <s v="MALE"/>
    <s v="Uninsured"/>
    <n v="99"/>
    <x v="12"/>
    <n v="3.6"/>
    <s v="No"/>
    <n v="724.52"/>
    <x v="2"/>
    <n v="11"/>
  </r>
  <r>
    <s v="1600"/>
    <d v="2026-03-09T00:00:00"/>
    <d v="1899-12-30T20:42:00"/>
    <x v="4"/>
    <x v="4"/>
    <s v="Patient 1600"/>
    <n v="48"/>
    <s v="FEMALE"/>
    <s v="Medicare"/>
    <n v="78"/>
    <x v="12"/>
    <n v="3"/>
    <s v="No"/>
    <n v="766.22"/>
    <x v="2"/>
    <n v="11"/>
  </r>
  <r>
    <s v="1593"/>
    <d v="2026-03-09T00:00:00"/>
    <d v="1899-12-30T19:02:00"/>
    <x v="1"/>
    <x v="1"/>
    <s v="Patient 1593"/>
    <n v="22"/>
    <s v="MALE"/>
    <s v="Medicaid"/>
    <n v="37"/>
    <x v="102"/>
    <m/>
    <s v="No"/>
    <n v="2457.54"/>
    <x v="2"/>
    <n v="7"/>
  </r>
  <r>
    <s v="1598"/>
    <d v="2026-03-09T00:00:00"/>
    <d v="1899-12-30T11:57:00"/>
    <x v="4"/>
    <x v="4"/>
    <s v="Patient 1598"/>
    <n v="30"/>
    <s v="FEMALE"/>
    <s v="Private"/>
    <n v="74"/>
    <x v="64"/>
    <m/>
    <s v="No"/>
    <n v="583.11"/>
    <x v="1"/>
    <n v="5"/>
  </r>
  <r>
    <s v="1596"/>
    <d v="2026-03-09T00:00:00"/>
    <d v="1899-12-30T19:26:00"/>
    <x v="4"/>
    <x v="4"/>
    <s v="Patient 1596"/>
    <n v="53"/>
    <s v="MALE"/>
    <s v="Medicaid"/>
    <n v="61"/>
    <x v="28"/>
    <n v="3.6"/>
    <s v="Yes"/>
    <n v="1054.3"/>
    <x v="2"/>
    <n v="11"/>
  </r>
  <r>
    <s v="1599"/>
    <d v="2026-03-09T00:00:00"/>
    <d v="1899-12-30T13:34:00"/>
    <x v="4"/>
    <x v="4"/>
    <s v="Patient 1599"/>
    <n v="46"/>
    <s v="FEMALE"/>
    <s v="Private"/>
    <n v="47"/>
    <x v="37"/>
    <m/>
    <s v="No"/>
    <n v="951.76"/>
    <x v="1"/>
    <n v="5"/>
  </r>
  <r>
    <s v="1597"/>
    <d v="2026-03-09T00:00:00"/>
    <d v="1899-12-30T21:09:00"/>
    <x v="4"/>
    <x v="4"/>
    <s v="Patient 1597"/>
    <n v="63"/>
    <s v="FEMALE"/>
    <s v="Medicaid"/>
    <n v="60"/>
    <x v="54"/>
    <n v="3.1"/>
    <s v="No"/>
    <n v="735.38"/>
    <x v="2"/>
    <n v="11"/>
  </r>
  <r>
    <s v="1610"/>
    <d v="2026-03-10T00:00:00"/>
    <d v="1899-12-30T09:52:00"/>
    <x v="2"/>
    <x v="2"/>
    <s v="Patient 1610"/>
    <n v="64"/>
    <s v="MALE"/>
    <s v="Medicaid"/>
    <n v="30"/>
    <x v="69"/>
    <m/>
    <s v="Yes"/>
    <n v="802.74"/>
    <x v="1"/>
    <n v="4"/>
  </r>
  <r>
    <s v="1608"/>
    <d v="2026-03-10T00:00:00"/>
    <d v="1899-12-30T08:54:00"/>
    <x v="3"/>
    <x v="3"/>
    <s v="Patient 1608"/>
    <n v="47"/>
    <s v="MALE"/>
    <s v="Medicaid"/>
    <n v="37"/>
    <x v="102"/>
    <n v="3.2"/>
    <s v="No"/>
    <n v="828.51"/>
    <x v="1"/>
    <n v="8"/>
  </r>
  <r>
    <s v="1609"/>
    <d v="2026-03-10T00:00:00"/>
    <d v="1899-12-30T19:06:00"/>
    <x v="4"/>
    <x v="4"/>
    <s v="Patient 1609"/>
    <n v="46"/>
    <s v="MALE"/>
    <s v="Private"/>
    <n v="50"/>
    <x v="47"/>
    <n v="2.8"/>
    <s v="No"/>
    <n v="570.25"/>
    <x v="2"/>
    <n v="10"/>
  </r>
  <r>
    <s v="1605"/>
    <d v="2026-03-10T00:00:00"/>
    <d v="1899-12-30T02:44:00"/>
    <x v="4"/>
    <x v="4"/>
    <s v="Patient 1605"/>
    <n v="49"/>
    <s v="MALE"/>
    <s v="Medicare"/>
    <n v="33"/>
    <x v="35"/>
    <n v="3"/>
    <s v="No"/>
    <n v="604.23"/>
    <x v="0"/>
    <n v="5"/>
  </r>
  <r>
    <s v="1607"/>
    <d v="2026-03-10T00:00:00"/>
    <d v="1899-12-30T13:54:00"/>
    <x v="4"/>
    <x v="4"/>
    <s v="Patient 1607"/>
    <n v="11"/>
    <s v="FEMALE"/>
    <s v="Medicare"/>
    <n v="30"/>
    <x v="70"/>
    <n v="3.9"/>
    <s v="No"/>
    <n v="546.83000000000004"/>
    <x v="1"/>
    <n v="5"/>
  </r>
  <r>
    <s v="1603"/>
    <d v="2026-03-10T00:00:00"/>
    <d v="1899-12-30T06:20:00"/>
    <x v="4"/>
    <x v="4"/>
    <s v="Patient 1603"/>
    <n v="62"/>
    <s v="MALE"/>
    <s v="Medicare"/>
    <n v="35"/>
    <x v="9"/>
    <n v="3.1"/>
    <m/>
    <n v="792.31"/>
    <x v="0"/>
    <n v="5"/>
  </r>
  <r>
    <s v="1604"/>
    <d v="2026-03-10T00:00:00"/>
    <d v="1899-12-30T05:17:00"/>
    <x v="3"/>
    <x v="3"/>
    <s v="Patient 1604"/>
    <n v="42"/>
    <s v="MALE"/>
    <s v="Private"/>
    <n v="37"/>
    <x v="50"/>
    <n v="4"/>
    <s v="No"/>
    <n v="1512.34"/>
    <x v="0"/>
    <n v="2"/>
  </r>
  <r>
    <s v="1606"/>
    <d v="2026-03-10T00:00:00"/>
    <d v="1899-12-30T18:09:00"/>
    <x v="0"/>
    <x v="0"/>
    <s v="Patient 1606"/>
    <n v="58"/>
    <s v="MALE"/>
    <s v="Medicare"/>
    <n v="79"/>
    <x v="56"/>
    <n v="3.3"/>
    <s v="No"/>
    <n v="2935.81"/>
    <x v="2"/>
    <n v="7"/>
  </r>
  <r>
    <s v="1617"/>
    <d v="2026-03-11T00:00:00"/>
    <d v="1899-12-30T20:49:00"/>
    <x v="4"/>
    <x v="4"/>
    <s v="Patient 1617"/>
    <n v="32"/>
    <s v="FEMALE"/>
    <s v="Uninsured"/>
    <n v="54"/>
    <x v="24"/>
    <n v="3.7"/>
    <s v="No"/>
    <n v="615.41999999999996"/>
    <x v="2"/>
    <n v="8"/>
  </r>
  <r>
    <s v="1618"/>
    <d v="2026-03-11T00:00:00"/>
    <d v="1899-12-30T11:02:00"/>
    <x v="3"/>
    <x v="3"/>
    <s v="Patient 1618"/>
    <n v="64"/>
    <s v="FEMALE"/>
    <s v="Medicaid"/>
    <n v="35"/>
    <x v="22"/>
    <n v="3"/>
    <m/>
    <n v="2207.79"/>
    <x v="1"/>
    <n v="4"/>
  </r>
  <r>
    <s v="1621"/>
    <d v="2026-03-11T00:00:00"/>
    <d v="1899-12-30T15:19:00"/>
    <x v="3"/>
    <x v="3"/>
    <s v="Patient 1621"/>
    <n v="43"/>
    <s v="FEMALE"/>
    <s v="Uninsured"/>
    <n v="52"/>
    <x v="21"/>
    <n v="4.0999999999999996"/>
    <s v="No"/>
    <n v="1784.11"/>
    <x v="2"/>
    <n v="5"/>
  </r>
  <r>
    <s v="1616"/>
    <d v="2026-03-11T00:00:00"/>
    <d v="1899-12-30T19:48:00"/>
    <x v="2"/>
    <x v="2"/>
    <s v="Patient 1616"/>
    <n v="73"/>
    <s v="FEMALE"/>
    <s v="Medicare"/>
    <n v="10"/>
    <x v="65"/>
    <n v="4.2"/>
    <s v="No"/>
    <n v="700.99"/>
    <x v="2"/>
    <n v="3"/>
  </r>
  <r>
    <s v="1615"/>
    <d v="2026-03-11T00:00:00"/>
    <d v="1899-12-30T13:56:00"/>
    <x v="1"/>
    <x v="1"/>
    <s v="Patient 1615"/>
    <n v="39"/>
    <s v="FEMALE"/>
    <s v="Uninsured"/>
    <n v="36"/>
    <x v="82"/>
    <m/>
    <s v="No"/>
    <n v="2545.85"/>
    <x v="1"/>
    <n v="8"/>
  </r>
  <r>
    <s v="1614"/>
    <d v="2026-03-11T00:00:00"/>
    <d v="1899-12-30T14:26:00"/>
    <x v="3"/>
    <x v="3"/>
    <s v="Patient 1614"/>
    <n v="53"/>
    <s v="MALE"/>
    <s v="Medicaid"/>
    <n v="36"/>
    <x v="57"/>
    <n v="2.9"/>
    <s v="No"/>
    <n v="1749.18"/>
    <x v="1"/>
    <n v="4"/>
  </r>
  <r>
    <s v="1619"/>
    <d v="2026-03-11T00:00:00"/>
    <d v="1899-12-30T13:28:00"/>
    <x v="1"/>
    <x v="1"/>
    <s v="Patient 1619"/>
    <n v="9"/>
    <s v="FEMALE"/>
    <s v="Medicare"/>
    <n v="31"/>
    <x v="45"/>
    <n v="3.1"/>
    <s v="No"/>
    <n v="1858.42"/>
    <x v="1"/>
    <n v="8"/>
  </r>
  <r>
    <s v="1620"/>
    <d v="2026-03-11T00:00:00"/>
    <d v="1899-12-30T08:53:00"/>
    <x v="4"/>
    <x v="4"/>
    <s v="Patient 1620"/>
    <n v="53"/>
    <s v="MALE"/>
    <s v="Medicare"/>
    <n v="46"/>
    <x v="83"/>
    <n v="2.8"/>
    <s v="No"/>
    <n v="1445.45"/>
    <x v="1"/>
    <n v="5"/>
  </r>
  <r>
    <s v="1613"/>
    <d v="2026-03-11T00:00:00"/>
    <d v="1899-12-30T13:36:00"/>
    <x v="4"/>
    <x v="4"/>
    <s v="Patient 1613"/>
    <n v="108"/>
    <s v="MALE"/>
    <s v="Uninsured"/>
    <n v="66"/>
    <x v="8"/>
    <n v="3.8"/>
    <s v="No"/>
    <n v="484.13"/>
    <x v="1"/>
    <n v="5"/>
  </r>
  <r>
    <s v="1611"/>
    <d v="2026-03-11T00:00:00"/>
    <d v="1899-12-30T12:32:00"/>
    <x v="2"/>
    <x v="2"/>
    <s v="Patient 1611"/>
    <n v="26"/>
    <s v="MALE"/>
    <s v="Medicare"/>
    <n v="38"/>
    <x v="53"/>
    <n v="4.7"/>
    <s v="No"/>
    <n v="746.95"/>
    <x v="1"/>
    <n v="5"/>
  </r>
  <r>
    <s v="1612"/>
    <d v="2026-03-11T00:00:00"/>
    <d v="1899-12-30T20:04:00"/>
    <x v="1"/>
    <x v="1"/>
    <s v="Patient 1612"/>
    <n v="41"/>
    <s v="FEMALE"/>
    <s v="Medicare"/>
    <n v="64"/>
    <x v="20"/>
    <n v="2.7"/>
    <s v="No"/>
    <n v="1671.05"/>
    <x v="2"/>
    <n v="5"/>
  </r>
  <r>
    <s v="1629"/>
    <d v="2026-03-12T00:00:00"/>
    <d v="1899-12-30T13:09:00"/>
    <x v="4"/>
    <x v="4"/>
    <s v="Patient 1629"/>
    <n v="58"/>
    <s v="MALE"/>
    <s v="Private"/>
    <n v="5"/>
    <x v="57"/>
    <n v="2.9"/>
    <s v="No"/>
    <n v="965.4"/>
    <x v="1"/>
    <n v="5"/>
  </r>
  <r>
    <s v="1628"/>
    <d v="2026-03-12T00:00:00"/>
    <d v="1899-12-30T12:52:00"/>
    <x v="4"/>
    <x v="4"/>
    <s v="Patient 1628"/>
    <n v="50"/>
    <s v="MALE"/>
    <s v="Medicaid"/>
    <n v="66"/>
    <x v="25"/>
    <n v="2.9"/>
    <s v="No"/>
    <n v="590.48"/>
    <x v="1"/>
    <n v="5"/>
  </r>
  <r>
    <s v="1622"/>
    <d v="2026-03-12T00:00:00"/>
    <d v="1899-12-30T12:07:00"/>
    <x v="3"/>
    <x v="3"/>
    <s v="Patient 1622"/>
    <n v="63"/>
    <s v="FEMALE"/>
    <s v="Uninsured"/>
    <n v="58"/>
    <x v="82"/>
    <n v="3.3"/>
    <s v="Yes"/>
    <n v="1533.27"/>
    <x v="1"/>
    <n v="6"/>
  </r>
  <r>
    <s v="1625"/>
    <d v="2026-03-12T00:00:00"/>
    <d v="1899-12-30T13:53:00"/>
    <x v="4"/>
    <x v="4"/>
    <s v="Patient 1625"/>
    <n v="150"/>
    <s v="FEMALE"/>
    <s v="Medicaid"/>
    <n v="26"/>
    <x v="78"/>
    <m/>
    <s v="No"/>
    <n v="994.57"/>
    <x v="1"/>
    <n v="5"/>
  </r>
  <r>
    <s v="1626"/>
    <d v="2026-03-12T00:00:00"/>
    <d v="1899-12-30T11:11:00"/>
    <x v="2"/>
    <x v="2"/>
    <s v="Patient 1626"/>
    <n v="70"/>
    <s v="MALE"/>
    <s v="Medicare"/>
    <n v="38"/>
    <x v="36"/>
    <n v="4.2"/>
    <s v="No"/>
    <n v="423.34"/>
    <x v="1"/>
    <n v="4"/>
  </r>
  <r>
    <s v="1627"/>
    <d v="2026-03-12T00:00:00"/>
    <d v="1899-12-30T15:15:00"/>
    <x v="2"/>
    <x v="2"/>
    <s v="Patient 1627"/>
    <n v="22"/>
    <s v="MALE"/>
    <s v="Medicaid"/>
    <n v="57"/>
    <x v="8"/>
    <n v="4.4000000000000004"/>
    <s v="No"/>
    <n v="736.16"/>
    <x v="2"/>
    <n v="6"/>
  </r>
  <r>
    <s v="1624"/>
    <d v="2026-03-12T00:00:00"/>
    <d v="1899-12-30T15:54:00"/>
    <x v="2"/>
    <x v="2"/>
    <s v="Patient 1624"/>
    <n v="52"/>
    <s v="MALE"/>
    <s v="Medicare"/>
    <n v="17"/>
    <x v="47"/>
    <n v="4.4000000000000004"/>
    <s v="No"/>
    <n v="505.96"/>
    <x v="2"/>
    <n v="6"/>
  </r>
  <r>
    <s v="1625"/>
    <d v="2026-03-12T00:00:00"/>
    <d v="1899-12-30T13:53:00"/>
    <x v="4"/>
    <x v="4"/>
    <s v="Patient 1625"/>
    <n v="150"/>
    <s v="FEMALE"/>
    <s v="Medicaid"/>
    <n v="26"/>
    <x v="78"/>
    <m/>
    <s v="No"/>
    <n v="994.57"/>
    <x v="1"/>
    <n v="5"/>
  </r>
  <r>
    <s v="1623"/>
    <d v="2026-03-12T00:00:00"/>
    <d v="1899-12-30T11:15:00"/>
    <x v="4"/>
    <x v="4"/>
    <s v="Patient 1623"/>
    <n v="42"/>
    <s v="FEMALE"/>
    <s v="Medicare"/>
    <n v="39"/>
    <x v="53"/>
    <n v="4"/>
    <s v="No"/>
    <n v="1228.6099999999999"/>
    <x v="1"/>
    <n v="5"/>
  </r>
  <r>
    <s v="1634"/>
    <d v="2026-03-13T00:00:00"/>
    <d v="1899-12-30T13:49:00"/>
    <x v="4"/>
    <x v="4"/>
    <s v="Patient 1634"/>
    <n v="21"/>
    <s v="MALE"/>
    <s v="Private"/>
    <n v="36"/>
    <x v="12"/>
    <n v="3.8"/>
    <s v="No"/>
    <n v="594.89"/>
    <x v="1"/>
    <n v="8"/>
  </r>
  <r>
    <s v="1638"/>
    <d v="2026-03-13T00:00:00"/>
    <d v="1899-12-30T09:15:00"/>
    <x v="1"/>
    <x v="1"/>
    <s v="Patient 1638"/>
    <n v="100"/>
    <s v="MALE"/>
    <s v="Uninsured"/>
    <n v="41"/>
    <x v="25"/>
    <n v="3.7"/>
    <s v="No"/>
    <n v="1713.2"/>
    <x v="1"/>
    <n v="8"/>
  </r>
  <r>
    <s v="1639"/>
    <d v="2026-03-13T00:00:00"/>
    <d v="1899-12-30T18:59:00"/>
    <x v="4"/>
    <x v="4"/>
    <s v="Patient 1639"/>
    <n v="32"/>
    <s v="MALE"/>
    <s v="Medicaid"/>
    <n v="63"/>
    <x v="81"/>
    <n v="3.3"/>
    <s v="Yes"/>
    <n v="1026.8699999999999"/>
    <x v="2"/>
    <n v="12"/>
  </r>
  <r>
    <s v="1630"/>
    <d v="2026-03-13T00:00:00"/>
    <d v="1899-12-30T22:20:00"/>
    <x v="4"/>
    <x v="4"/>
    <s v="Patient 1630"/>
    <n v="35"/>
    <s v="MALE"/>
    <s v="Uninsured"/>
    <n v="64"/>
    <x v="69"/>
    <n v="2.4"/>
    <s v="No"/>
    <n v="978.05"/>
    <x v="2"/>
    <n v="12"/>
  </r>
  <r>
    <s v="1636"/>
    <d v="2026-03-13T00:00:00"/>
    <d v="1899-12-30T10:40:00"/>
    <x v="4"/>
    <x v="4"/>
    <s v="Patient 1636"/>
    <n v="33"/>
    <s v="MALE"/>
    <s v="Medicare"/>
    <n v="46"/>
    <x v="12"/>
    <n v="3.1"/>
    <s v="No"/>
    <n v="1059.4100000000001"/>
    <x v="1"/>
    <n v="8"/>
  </r>
  <r>
    <s v="1637"/>
    <d v="2026-03-13T00:00:00"/>
    <d v="1899-12-30T13:14:00"/>
    <x v="4"/>
    <x v="4"/>
    <s v="Patient 1637"/>
    <n v="82"/>
    <s v="MALE"/>
    <s v="Medicare"/>
    <n v="75"/>
    <x v="58"/>
    <n v="3.8"/>
    <s v="No"/>
    <n v="959.63"/>
    <x v="1"/>
    <n v="8"/>
  </r>
  <r>
    <s v="1632"/>
    <d v="2026-03-13T00:00:00"/>
    <d v="1899-12-30T11:34:00"/>
    <x v="1"/>
    <x v="1"/>
    <s v="Patient 1632"/>
    <n v="57"/>
    <s v="FEMALE"/>
    <s v="Private"/>
    <n v="24"/>
    <x v="37"/>
    <n v="2.9"/>
    <s v="No"/>
    <n v="2202.1"/>
    <x v="1"/>
    <n v="8"/>
  </r>
  <r>
    <s v="1635"/>
    <d v="2026-03-13T00:00:00"/>
    <d v="1899-12-30T16:55:00"/>
    <x v="1"/>
    <x v="1"/>
    <s v="Patient 1635"/>
    <n v="39"/>
    <s v="FEMALE"/>
    <s v="Medicaid"/>
    <n v="26"/>
    <x v="12"/>
    <m/>
    <s v="No"/>
    <n v="1484.97"/>
    <x v="2"/>
    <n v="3"/>
  </r>
  <r>
    <s v="1633"/>
    <d v="2026-03-13T00:00:00"/>
    <d v="1899-12-30T13:29:00"/>
    <x v="3"/>
    <x v="3"/>
    <s v="Patient 1633"/>
    <n v="51"/>
    <s v="FEMALE"/>
    <s v="Private"/>
    <n v="62"/>
    <x v="43"/>
    <n v="3.5"/>
    <s v="No"/>
    <n v="1452.77"/>
    <x v="1"/>
    <n v="7"/>
  </r>
  <r>
    <s v="1631"/>
    <d v="2026-03-13T00:00:00"/>
    <d v="1899-12-30T12:59:00"/>
    <x v="3"/>
    <x v="3"/>
    <s v="Patient 1631"/>
    <n v="29"/>
    <s v="FEMALE"/>
    <s v="Medicaid"/>
    <n v="47"/>
    <x v="12"/>
    <n v="3.9"/>
    <s v="No"/>
    <n v="1477.34"/>
    <x v="1"/>
    <n v="7"/>
  </r>
  <r>
    <s v="1644"/>
    <d v="2026-03-14T00:00:00"/>
    <d v="1899-12-30T17:25:00"/>
    <x v="3"/>
    <x v="3"/>
    <s v="Patient 1644"/>
    <n v="28"/>
    <s v="MALE"/>
    <s v="Medicare"/>
    <n v="78"/>
    <x v="32"/>
    <n v="3.9"/>
    <s v="No"/>
    <n v="1739.11"/>
    <x v="2"/>
    <n v="3"/>
  </r>
  <r>
    <s v="1645"/>
    <d v="2026-03-14T00:00:00"/>
    <d v="1899-12-30T19:45:00"/>
    <x v="4"/>
    <x v="4"/>
    <s v="Patient 1645"/>
    <n v="74"/>
    <s v="FEMALE"/>
    <s v="Uninsured"/>
    <n v="92"/>
    <x v="12"/>
    <n v="2"/>
    <s v="No"/>
    <n v="1173.01"/>
    <x v="2"/>
    <n v="10"/>
  </r>
  <r>
    <s v="1640"/>
    <d v="2026-03-14T00:00:00"/>
    <d v="1899-12-30T15:23:00"/>
    <x v="4"/>
    <x v="4"/>
    <s v="Patient 1640"/>
    <n v="8"/>
    <s v="FEMALE"/>
    <s v="Medicare"/>
    <n v="60"/>
    <x v="11"/>
    <n v="3.1"/>
    <s v="No"/>
    <n v="907.84"/>
    <x v="2"/>
    <n v="10"/>
  </r>
  <r>
    <s v="1641"/>
    <d v="2026-03-14T00:00:00"/>
    <d v="1899-12-30T13:01:00"/>
    <x v="2"/>
    <x v="2"/>
    <s v="Patient 1641"/>
    <n v="51"/>
    <s v="MALE"/>
    <s v="Medicare"/>
    <n v="35"/>
    <x v="44"/>
    <n v="4.0999999999999996"/>
    <s v="No"/>
    <n v="904.35"/>
    <x v="1"/>
    <n v="6"/>
  </r>
  <r>
    <s v="1646"/>
    <d v="2026-03-14T00:00:00"/>
    <d v="1899-12-30T08:30:00"/>
    <x v="3"/>
    <x v="3"/>
    <s v="Patient 1646"/>
    <n v="74"/>
    <s v="FEMALE"/>
    <s v="Medicaid"/>
    <n v="71"/>
    <x v="12"/>
    <n v="1.8"/>
    <s v="Yes"/>
    <n v="1397.42"/>
    <x v="1"/>
    <n v="6"/>
  </r>
  <r>
    <s v="1644"/>
    <d v="2026-03-14T00:00:00"/>
    <d v="1899-12-30T17:25:00"/>
    <x v="3"/>
    <x v="3"/>
    <s v="Patient 1644"/>
    <n v="28"/>
    <s v="MALE"/>
    <s v="Medicare"/>
    <n v="78"/>
    <x v="32"/>
    <n v="3.9"/>
    <s v="No"/>
    <n v="1739.11"/>
    <x v="2"/>
    <n v="3"/>
  </r>
  <r>
    <s v="1647"/>
    <d v="2026-03-14T00:00:00"/>
    <d v="1899-12-30T09:20:00"/>
    <x v="1"/>
    <x v="1"/>
    <s v="Patient 1647"/>
    <n v="21"/>
    <s v="FEMALE"/>
    <s v="Medicaid"/>
    <n v="43"/>
    <x v="12"/>
    <n v="3.2"/>
    <s v="No"/>
    <n v="1504.82"/>
    <x v="1"/>
    <n v="5"/>
  </r>
  <r>
    <s v="1643"/>
    <d v="2026-03-14T00:00:00"/>
    <d v="1899-12-30T14:32:00"/>
    <x v="0"/>
    <x v="0"/>
    <s v="Patient 1643"/>
    <n v="54"/>
    <s v="MALE"/>
    <s v="Medicare"/>
    <n v="61"/>
    <x v="84"/>
    <n v="4.2"/>
    <s v="No"/>
    <n v="3780.23"/>
    <x v="1"/>
    <n v="6"/>
  </r>
  <r>
    <s v="1648"/>
    <d v="2026-03-14T00:00:00"/>
    <d v="1899-12-30T05:34:00"/>
    <x v="4"/>
    <x v="4"/>
    <s v="Patient 1648"/>
    <n v="53"/>
    <s v="FEMALE"/>
    <s v="Medicare"/>
    <n v="26"/>
    <x v="71"/>
    <n v="3.4"/>
    <s v="No"/>
    <n v="1068.22"/>
    <x v="0"/>
    <n v="3"/>
  </r>
  <r>
    <s v="1642"/>
    <d v="2026-03-14T00:00:00"/>
    <d v="1899-12-30T08:11:00"/>
    <x v="4"/>
    <x v="4"/>
    <s v="Patient 1642"/>
    <n v="81"/>
    <s v="FEMALE"/>
    <s v="Medicaid"/>
    <n v="50"/>
    <x v="69"/>
    <n v="3.5"/>
    <s v="No"/>
    <n v="1278.6300000000001"/>
    <x v="1"/>
    <n v="7"/>
  </r>
  <r>
    <s v="1650"/>
    <d v="2026-03-15T00:00:00"/>
    <d v="1899-12-30T21:05:00"/>
    <x v="3"/>
    <x v="3"/>
    <s v="Patient 1650"/>
    <n v="70"/>
    <s v="MALE"/>
    <s v="Medicaid"/>
    <n v="55"/>
    <x v="12"/>
    <n v="3.2"/>
    <s v="No"/>
    <n v="683.01"/>
    <x v="2"/>
    <n v="5"/>
  </r>
  <r>
    <s v="1649"/>
    <d v="2026-03-15T00:00:00"/>
    <d v="1899-12-30T16:05:00"/>
    <x v="4"/>
    <x v="4"/>
    <s v="Patient 1649"/>
    <n v="68"/>
    <s v="MALE"/>
    <s v="Medicaid"/>
    <n v="81"/>
    <x v="60"/>
    <n v="3.4"/>
    <s v="No"/>
    <n v="807.5"/>
    <x v="2"/>
    <n v="8"/>
  </r>
  <r>
    <s v="1656"/>
    <d v="2026-03-15T00:00:00"/>
    <d v="1899-12-30T12:14:00"/>
    <x v="3"/>
    <x v="3"/>
    <s v="Patient 1656"/>
    <n v="72"/>
    <s v="FEMALE"/>
    <s v="Uninsured"/>
    <n v="75"/>
    <x v="76"/>
    <n v="3.1"/>
    <s v="No"/>
    <n v="1634.17"/>
    <x v="1"/>
    <n v="4"/>
  </r>
  <r>
    <s v="1655"/>
    <d v="2026-03-15T00:00:00"/>
    <d v="1899-12-30T18:13:00"/>
    <x v="0"/>
    <x v="0"/>
    <s v="Patient 1655"/>
    <n v="16"/>
    <s v="FEMALE"/>
    <s v="Private"/>
    <n v="130"/>
    <x v="25"/>
    <n v="1.4"/>
    <s v="No"/>
    <n v="2588.41"/>
    <x v="2"/>
    <n v="4"/>
  </r>
  <r>
    <s v="1657"/>
    <d v="2026-03-15T00:00:00"/>
    <d v="1899-12-30T16:06:00"/>
    <x v="0"/>
    <x v="0"/>
    <s v="Patient 1657"/>
    <n v="70"/>
    <s v="FEMALE"/>
    <s v="Private"/>
    <n v="97"/>
    <x v="105"/>
    <m/>
    <s v="No"/>
    <n v="4747.8100000000004"/>
    <x v="2"/>
    <n v="4"/>
  </r>
  <r>
    <s v="1651"/>
    <d v="2026-03-15T00:00:00"/>
    <d v="1899-12-30T20:27:00"/>
    <x v="4"/>
    <x v="4"/>
    <s v="Patient 1651"/>
    <n v="58"/>
    <s v="MALE"/>
    <s v="Medicaid"/>
    <n v="73"/>
    <x v="5"/>
    <n v="3.6"/>
    <s v="No"/>
    <n v="1154.5"/>
    <x v="2"/>
    <n v="8"/>
  </r>
  <r>
    <s v="1654"/>
    <d v="2026-03-15T00:00:00"/>
    <d v="1899-12-30T19:59:00"/>
    <x v="4"/>
    <x v="4"/>
    <s v="Patient 1654"/>
    <n v="51"/>
    <s v="FEMALE"/>
    <s v="Medicare"/>
    <n v="63"/>
    <x v="68"/>
    <n v="3.4"/>
    <s v="No"/>
    <n v="724.45"/>
    <x v="2"/>
    <n v="8"/>
  </r>
  <r>
    <s v="1659"/>
    <d v="2026-03-15T00:00:00"/>
    <d v="1899-12-30T18:30:00"/>
    <x v="2"/>
    <x v="2"/>
    <s v="Patient 1659"/>
    <n v="66"/>
    <s v="FEMALE"/>
    <s v="Medicare"/>
    <n v="57"/>
    <x v="45"/>
    <n v="4"/>
    <s v="No"/>
    <n v="762.93"/>
    <x v="2"/>
    <n v="6"/>
  </r>
  <r>
    <s v="1658"/>
    <d v="2026-03-15T00:00:00"/>
    <d v="1899-12-30T11:39:00"/>
    <x v="1"/>
    <x v="1"/>
    <s v="Patient 1658"/>
    <n v="70"/>
    <s v="FEMALE"/>
    <s v="Medicaid"/>
    <n v="45"/>
    <x v="81"/>
    <n v="2.6"/>
    <s v="No"/>
    <n v="2430.63"/>
    <x v="1"/>
    <n v="3"/>
  </r>
  <r>
    <s v="1652"/>
    <d v="2026-03-15T00:00:00"/>
    <d v="1899-12-30T13:18:00"/>
    <x v="4"/>
    <x v="4"/>
    <s v="Patient 1652"/>
    <n v="20"/>
    <s v="MALE"/>
    <s v="Medicaid"/>
    <n v="71"/>
    <x v="16"/>
    <n v="2.2999999999999998"/>
    <s v="No"/>
    <n v="1193.29"/>
    <x v="1"/>
    <n v="7"/>
  </r>
  <r>
    <s v="1653"/>
    <d v="2026-03-15T00:00:00"/>
    <d v="1899-12-30T21:58:00"/>
    <x v="4"/>
    <x v="4"/>
    <s v="Patient 1653"/>
    <n v="72"/>
    <s v="FEMALE"/>
    <s v="Medicaid"/>
    <n v="92"/>
    <x v="8"/>
    <n v="2.1"/>
    <s v="No"/>
    <n v="728.55"/>
    <x v="2"/>
    <n v="8"/>
  </r>
  <r>
    <s v="1663"/>
    <d v="2026-03-16T00:00:00"/>
    <d v="1899-12-30T16:02:00"/>
    <x v="4"/>
    <x v="4"/>
    <s v="Patient 1663"/>
    <n v="12"/>
    <s v="MALE"/>
    <s v="Private"/>
    <n v="66"/>
    <x v="12"/>
    <n v="3.2"/>
    <s v="No"/>
    <n v="843.14"/>
    <x v="2"/>
    <n v="9"/>
  </r>
  <r>
    <s v="1662"/>
    <d v="2026-03-16T00:00:00"/>
    <d v="1899-12-30T21:11:00"/>
    <x v="2"/>
    <x v="2"/>
    <s v="Patient 1662"/>
    <n v="69"/>
    <s v="FEMALE"/>
    <s v="Uninsured"/>
    <n v="46"/>
    <x v="83"/>
    <n v="5"/>
    <s v="No"/>
    <n v="1000.32"/>
    <x v="2"/>
    <n v="4"/>
  </r>
  <r>
    <s v="1666"/>
    <d v="2026-03-16T00:00:00"/>
    <d v="1899-12-30T08:21:00"/>
    <x v="4"/>
    <x v="4"/>
    <s v="Patient 1666"/>
    <n v="42"/>
    <s v="MALE"/>
    <s v="Private"/>
    <n v="30"/>
    <x v="12"/>
    <n v="4.2"/>
    <s v="No"/>
    <n v="857.24"/>
    <x v="1"/>
    <n v="7"/>
  </r>
  <r>
    <s v="1665"/>
    <d v="2026-03-16T00:00:00"/>
    <d v="1899-12-30T12:11:00"/>
    <x v="4"/>
    <x v="4"/>
    <s v="Patient 1665"/>
    <n v="60"/>
    <s v="FEMALE"/>
    <s v="Private"/>
    <n v="36"/>
    <x v="58"/>
    <n v="2.8"/>
    <s v="No"/>
    <n v="536.66999999999996"/>
    <x v="1"/>
    <n v="7"/>
  </r>
  <r>
    <s v="1664"/>
    <d v="2026-03-16T00:00:00"/>
    <d v="1899-12-30T10:26:00"/>
    <x v="2"/>
    <x v="2"/>
    <s v="Patient 1664"/>
    <n v="56"/>
    <s v="MALE"/>
    <s v="Medicaid"/>
    <n v="41"/>
    <x v="47"/>
    <n v="4.0999999999999996"/>
    <s v="No"/>
    <n v="717.49"/>
    <x v="1"/>
    <n v="6"/>
  </r>
  <r>
    <s v="1660"/>
    <d v="2026-03-16T00:00:00"/>
    <d v="1899-12-30T05:13:00"/>
    <x v="0"/>
    <x v="0"/>
    <s v="Patient 1660"/>
    <n v="55"/>
    <s v="MALE"/>
    <s v="Medicare"/>
    <n v="37"/>
    <x v="88"/>
    <n v="3.7"/>
    <s v="No"/>
    <n v="3374.44"/>
    <x v="0"/>
    <n v="1"/>
  </r>
  <r>
    <s v="1661"/>
    <d v="2026-03-16T00:00:00"/>
    <d v="1899-12-30T06:30:00"/>
    <x v="1"/>
    <x v="1"/>
    <s v="Patient 1661"/>
    <n v="28"/>
    <s v="MALE"/>
    <s v="Private"/>
    <n v="52"/>
    <x v="12"/>
    <n v="3.6"/>
    <m/>
    <n v="1621.17"/>
    <x v="0"/>
    <n v="1"/>
  </r>
  <r>
    <s v="1667"/>
    <d v="2026-03-17T00:00:00"/>
    <d v="1899-12-30T20:31:00"/>
    <x v="4"/>
    <x v="4"/>
    <s v="Patient 1667"/>
    <n v="51"/>
    <s v="FEMALE"/>
    <s v="Private"/>
    <n v="77"/>
    <x v="22"/>
    <n v="4.3"/>
    <s v="No"/>
    <n v="998.34"/>
    <x v="2"/>
    <n v="12"/>
  </r>
  <r>
    <s v="1671"/>
    <d v="2026-03-17T00:00:00"/>
    <d v="1899-12-30T10:27:00"/>
    <x v="0"/>
    <x v="0"/>
    <s v="Patient 1671"/>
    <n v="75"/>
    <s v="MALE"/>
    <s v="Medicaid"/>
    <n v="29"/>
    <x v="38"/>
    <n v="3.4"/>
    <s v="No"/>
    <n v="3483.34"/>
    <x v="1"/>
    <n v="7"/>
  </r>
  <r>
    <s v="1668"/>
    <d v="2026-03-17T00:00:00"/>
    <d v="1899-12-30T09:40:00"/>
    <x v="4"/>
    <x v="4"/>
    <s v="Patient 1668"/>
    <n v="44"/>
    <s v="MALE"/>
    <s v="Private"/>
    <n v="30"/>
    <x v="44"/>
    <n v="4.2"/>
    <s v="No"/>
    <n v="827.5"/>
    <x v="1"/>
    <n v="5"/>
  </r>
  <r>
    <s v="1672"/>
    <d v="2026-03-17T00:00:00"/>
    <d v="1899-12-30T13:37:00"/>
    <x v="4"/>
    <x v="4"/>
    <s v="Patient 1672"/>
    <n v="19"/>
    <s v="FEMALE"/>
    <s v="Private"/>
    <n v="44"/>
    <x v="83"/>
    <n v="4.0999999999999996"/>
    <s v="No"/>
    <n v="941.14"/>
    <x v="1"/>
    <n v="5"/>
  </r>
  <r>
    <s v="1669"/>
    <d v="2026-03-17T00:00:00"/>
    <d v="1899-12-30T19:51:00"/>
    <x v="1"/>
    <x v="1"/>
    <s v="Patient 1669"/>
    <n v="79"/>
    <s v="FEMALE"/>
    <s v="Medicaid"/>
    <n v="38"/>
    <x v="42"/>
    <m/>
    <s v="No"/>
    <n v="1764.69"/>
    <x v="2"/>
    <n v="7"/>
  </r>
  <r>
    <s v="1673"/>
    <d v="2026-03-17T00:00:00"/>
    <d v="1899-12-30T20:21:00"/>
    <x v="2"/>
    <x v="2"/>
    <s v="Patient 1673"/>
    <n v="79"/>
    <s v="MALE"/>
    <s v="Private"/>
    <n v="33"/>
    <x v="57"/>
    <n v="4.4000000000000004"/>
    <s v="Yes"/>
    <n v="825.6"/>
    <x v="2"/>
    <n v="7"/>
  </r>
  <r>
    <s v="1670"/>
    <d v="2026-03-17T00:00:00"/>
    <d v="1899-12-30T13:19:00"/>
    <x v="3"/>
    <x v="3"/>
    <s v="Patient 1670"/>
    <n v="12"/>
    <s v="MALE"/>
    <s v="Medicare"/>
    <n v="61"/>
    <x v="6"/>
    <n v="3.2"/>
    <s v="No"/>
    <n v="1744.69"/>
    <x v="1"/>
    <n v="8"/>
  </r>
  <r>
    <s v="1681"/>
    <d v="2026-03-18T00:00:00"/>
    <d v="1899-12-30T18:23:00"/>
    <x v="1"/>
    <x v="1"/>
    <s v="Patient 1681"/>
    <n v="52"/>
    <s v="MALE"/>
    <s v="Medicaid"/>
    <n v="54"/>
    <x v="7"/>
    <n v="3.3"/>
    <s v="No"/>
    <n v="2779.06"/>
    <x v="2"/>
    <n v="4"/>
  </r>
  <r>
    <s v="1674"/>
    <d v="2026-03-18T00:00:00"/>
    <d v="1899-12-30T22:32:00"/>
    <x v="3"/>
    <x v="3"/>
    <s v="Patient 1674"/>
    <n v="55"/>
    <s v="MALE"/>
    <s v="Private"/>
    <n v="87"/>
    <x v="79"/>
    <n v="2.5"/>
    <s v="No"/>
    <n v="1956.12"/>
    <x v="2"/>
    <n v="7"/>
  </r>
  <r>
    <s v="1679"/>
    <d v="2026-03-18T00:00:00"/>
    <d v="1899-12-30T12:29:00"/>
    <x v="1"/>
    <x v="1"/>
    <s v="Patient 1679"/>
    <n v="50"/>
    <s v="MALE"/>
    <s v="Uninsured"/>
    <n v="58"/>
    <x v="6"/>
    <m/>
    <s v="No"/>
    <n v="1745.42"/>
    <x v="1"/>
    <n v="5"/>
  </r>
  <r>
    <s v="1676"/>
    <d v="2026-03-18T00:00:00"/>
    <d v="1899-12-30T12:56:00"/>
    <x v="4"/>
    <x v="4"/>
    <s v="Patient 1676"/>
    <n v="24"/>
    <s v="FEMALE"/>
    <s v="Medicare"/>
    <n v="37"/>
    <x v="82"/>
    <n v="3.9"/>
    <s v="No"/>
    <n v="1099.3699999999999"/>
    <x v="1"/>
    <n v="8"/>
  </r>
  <r>
    <s v="1680"/>
    <d v="2026-03-18T00:00:00"/>
    <d v="1899-12-30T12:20:00"/>
    <x v="3"/>
    <x v="3"/>
    <s v="Patient 1680"/>
    <n v="46"/>
    <s v="FEMALE"/>
    <s v="Medicaid"/>
    <n v="46"/>
    <x v="102"/>
    <n v="3.6"/>
    <s v="Yes"/>
    <n v="1380.21"/>
    <x v="1"/>
    <n v="4"/>
  </r>
  <r>
    <s v="1677"/>
    <d v="2026-03-18T00:00:00"/>
    <d v="1899-12-30T06:13:00"/>
    <x v="1"/>
    <x v="1"/>
    <s v="Patient 1677"/>
    <n v="25"/>
    <s v="FEMALE"/>
    <s v="Private"/>
    <n v="12"/>
    <x v="88"/>
    <n v="5"/>
    <s v="No"/>
    <n v="1147.78"/>
    <x v="0"/>
    <n v="2"/>
  </r>
  <r>
    <s v="1678"/>
    <d v="2026-03-18T00:00:00"/>
    <d v="1899-12-30T15:07:00"/>
    <x v="4"/>
    <x v="4"/>
    <s v="Patient 1678"/>
    <n v="37"/>
    <s v="FEMALE"/>
    <s v="Uninsured"/>
    <n v="42"/>
    <x v="25"/>
    <n v="2.7"/>
    <s v="No"/>
    <n v="799.45"/>
    <x v="2"/>
    <n v="10"/>
  </r>
  <r>
    <s v="1675"/>
    <d v="2026-03-18T00:00:00"/>
    <d v="1899-12-30T19:41:00"/>
    <x v="1"/>
    <x v="1"/>
    <s v="Patient 1675"/>
    <n v="15"/>
    <s v="FEMALE"/>
    <s v="Private"/>
    <n v="26"/>
    <x v="32"/>
    <n v="4"/>
    <s v="No"/>
    <n v="1263.1600000000001"/>
    <x v="2"/>
    <n v="4"/>
  </r>
  <r>
    <s v="1683"/>
    <d v="2026-03-19T00:00:00"/>
    <d v="1899-12-30T13:27:00"/>
    <x v="3"/>
    <x v="3"/>
    <s v="Patient 1683"/>
    <n v="67"/>
    <s v="MALE"/>
    <s v="Medicare"/>
    <n v="59"/>
    <x v="12"/>
    <n v="2.7"/>
    <s v="No"/>
    <n v="1595.33"/>
    <x v="1"/>
    <n v="6"/>
  </r>
  <r>
    <s v="1689"/>
    <d v="2026-03-19T00:00:00"/>
    <d v="1899-12-30T19:04:00"/>
    <x v="3"/>
    <x v="3"/>
    <s v="Patient 1689"/>
    <n v="18"/>
    <s v="MALE"/>
    <s v="Medicaid"/>
    <n v="53"/>
    <x v="28"/>
    <n v="3.9"/>
    <s v="No"/>
    <n v="1384.27"/>
    <x v="2"/>
    <n v="6"/>
  </r>
  <r>
    <s v="1686"/>
    <d v="2026-03-19T00:00:00"/>
    <d v="1899-12-30T15:07:00"/>
    <x v="4"/>
    <x v="4"/>
    <s v="Patient 1686"/>
    <n v="999"/>
    <s v="MALE"/>
    <s v="Medicaid"/>
    <n v="28"/>
    <x v="8"/>
    <n v="4.3"/>
    <s v="No"/>
    <n v="703.66"/>
    <x v="2"/>
    <n v="10"/>
  </r>
  <r>
    <s v="1684"/>
    <d v="2026-03-19T00:00:00"/>
    <d v="1899-12-30T11:34:00"/>
    <x v="4"/>
    <x v="4"/>
    <s v="Patient 1684"/>
    <n v="99"/>
    <s v="FEMALE"/>
    <s v="Uninsured"/>
    <n v="60"/>
    <x v="71"/>
    <n v="1.9"/>
    <s v="No"/>
    <n v="1154.0999999999999"/>
    <x v="1"/>
    <n v="8"/>
  </r>
  <r>
    <s v="1687"/>
    <d v="2026-03-19T00:00:00"/>
    <d v="1899-12-30T13:00:00"/>
    <x v="4"/>
    <x v="4"/>
    <s v="Patient 1687"/>
    <n v="41"/>
    <s v="MALE"/>
    <s v="Medicare"/>
    <n v="68"/>
    <x v="69"/>
    <n v="4.5"/>
    <s v="Yes"/>
    <n v="570.01"/>
    <x v="1"/>
    <n v="8"/>
  </r>
  <r>
    <s v="1682"/>
    <d v="2026-03-19T00:00:00"/>
    <d v="1899-12-30T17:00:00"/>
    <x v="0"/>
    <x v="0"/>
    <s v="Patient 1682"/>
    <n v="59"/>
    <s v="FEMALE"/>
    <s v="Medicare"/>
    <n v="90"/>
    <x v="106"/>
    <m/>
    <s v="No"/>
    <n v="2938.72"/>
    <x v="2"/>
    <n v="8"/>
  </r>
  <r>
    <s v="1688"/>
    <d v="2026-03-19T00:00:00"/>
    <d v="1899-12-30T22:20:00"/>
    <x v="2"/>
    <x v="2"/>
    <s v="Patient 1688"/>
    <n v="25"/>
    <s v="MALE"/>
    <s v="Private"/>
    <n v="44"/>
    <x v="23"/>
    <n v="3.9"/>
    <s v="No"/>
    <n v="725.66"/>
    <x v="2"/>
    <n v="4"/>
  </r>
  <r>
    <s v="1690"/>
    <d v="2026-03-19T00:00:00"/>
    <d v="1899-12-30T13:14:00"/>
    <x v="2"/>
    <x v="2"/>
    <s v="Patient 1690"/>
    <n v="33"/>
    <s v="FEMALE"/>
    <s v="Medicare"/>
    <n v="26"/>
    <x v="5"/>
    <n v="4.3"/>
    <s v="No"/>
    <n v="828.32"/>
    <x v="1"/>
    <n v="7"/>
  </r>
  <r>
    <s v="1685"/>
    <d v="2026-03-19T00:00:00"/>
    <d v="1899-12-30T11:32:00"/>
    <x v="4"/>
    <x v="4"/>
    <s v="Patient 1685"/>
    <n v="60"/>
    <s v="FEMALE"/>
    <s v="Medicaid"/>
    <n v="50"/>
    <x v="16"/>
    <n v="3.4"/>
    <s v="Yes"/>
    <n v="978.8"/>
    <x v="1"/>
    <n v="8"/>
  </r>
  <r>
    <s v="1692"/>
    <d v="2026-03-20T00:00:00"/>
    <d v="1899-12-30T16:08:00"/>
    <x v="4"/>
    <x v="4"/>
    <s v="Patient 1692"/>
    <n v="29"/>
    <s v="MALE"/>
    <s v="Private"/>
    <n v="45"/>
    <x v="47"/>
    <n v="3.7"/>
    <s v="No"/>
    <n v="879.54"/>
    <x v="2"/>
    <n v="11"/>
  </r>
  <r>
    <s v="1691"/>
    <d v="2026-03-20T00:00:00"/>
    <d v="1899-12-30T08:54:00"/>
    <x v="4"/>
    <x v="4"/>
    <s v="Patient 1691"/>
    <n v="30"/>
    <s v="FEMALE"/>
    <s v="Medicare"/>
    <n v="39"/>
    <x v="36"/>
    <n v="4.2"/>
    <s v="No"/>
    <n v="831.9"/>
    <x v="1"/>
    <n v="6"/>
  </r>
  <r>
    <s v="1696"/>
    <d v="2026-03-20T00:00:00"/>
    <d v="1899-12-30T13:19:00"/>
    <x v="1"/>
    <x v="1"/>
    <s v="Patient 1696"/>
    <n v="47"/>
    <s v="FEMALE"/>
    <s v="Medicaid"/>
    <n v="25"/>
    <x v="22"/>
    <n v="4.5"/>
    <s v="No"/>
    <n v="1810.59"/>
    <x v="1"/>
    <n v="7"/>
  </r>
  <r>
    <s v="1693"/>
    <d v="2026-03-20T00:00:00"/>
    <d v="1899-12-30T14:11:00"/>
    <x v="0"/>
    <x v="0"/>
    <s v="Patient 1693"/>
    <n v="36"/>
    <s v="MALE"/>
    <s v="Medicare"/>
    <n v="96"/>
    <x v="77"/>
    <n v="2.1"/>
    <s v="No"/>
    <n v="3553.13"/>
    <x v="1"/>
    <n v="9"/>
  </r>
  <r>
    <s v="1694"/>
    <d v="2026-03-20T00:00:00"/>
    <d v="1899-12-30T19:16:00"/>
    <x v="3"/>
    <x v="3"/>
    <s v="Patient 1694"/>
    <n v="38"/>
    <s v="FEMALE"/>
    <s v="Uninsured"/>
    <n v="73"/>
    <x v="64"/>
    <n v="3.1"/>
    <s v="No"/>
    <n v="1394.69"/>
    <x v="2"/>
    <n v="3"/>
  </r>
  <r>
    <s v="1697"/>
    <d v="2026-03-20T00:00:00"/>
    <d v="1899-12-30T11:07:00"/>
    <x v="1"/>
    <x v="1"/>
    <s v="Patient 1697"/>
    <n v="46"/>
    <s v="FEMALE"/>
    <s v="Medicaid"/>
    <n v="36"/>
    <x v="32"/>
    <n v="2.8"/>
    <s v="No"/>
    <n v="1384.75"/>
    <x v="1"/>
    <n v="7"/>
  </r>
  <r>
    <s v="1695"/>
    <d v="2026-03-20T00:00:00"/>
    <d v="1899-12-30T17:16:00"/>
    <x v="4"/>
    <x v="4"/>
    <s v="Patient 1695"/>
    <n v="66"/>
    <s v="FEMALE"/>
    <s v="Medicare"/>
    <n v="40"/>
    <x v="64"/>
    <n v="3.3"/>
    <s v="No"/>
    <n v="661.49"/>
    <x v="2"/>
    <n v="11"/>
  </r>
  <r>
    <s v="1703"/>
    <d v="2026-03-21T00:00:00"/>
    <d v="1899-12-30T12:59:00"/>
    <x v="0"/>
    <x v="0"/>
    <s v="Patient 1703"/>
    <n v="57"/>
    <s v="MALE"/>
    <s v="Private"/>
    <n v="92"/>
    <x v="30"/>
    <n v="3.4"/>
    <s v="No"/>
    <n v="2746.12"/>
    <x v="1"/>
    <n v="10"/>
  </r>
  <r>
    <s v="1705"/>
    <d v="2026-03-21T00:00:00"/>
    <d v="1899-12-30T20:59:00"/>
    <x v="4"/>
    <x v="4"/>
    <s v="Patient 1705"/>
    <n v="57"/>
    <s v="FEMALE"/>
    <s v="Medicare"/>
    <n v="71"/>
    <x v="45"/>
    <n v="2.8"/>
    <s v="No"/>
    <n v="1063.78"/>
    <x v="2"/>
    <n v="8"/>
  </r>
  <r>
    <s v="1704"/>
    <d v="2026-03-21T00:00:00"/>
    <d v="1899-12-30T22:22:00"/>
    <x v="4"/>
    <x v="4"/>
    <s v="Patient 1704"/>
    <n v="29"/>
    <s v="MALE"/>
    <s v="Medicaid"/>
    <n v="100"/>
    <x v="25"/>
    <n v="3.3"/>
    <s v="No"/>
    <n v="699.04"/>
    <x v="2"/>
    <n v="8"/>
  </r>
  <r>
    <s v="1699"/>
    <d v="2026-03-21T00:00:00"/>
    <d v="1899-12-30T17:37:00"/>
    <x v="4"/>
    <x v="4"/>
    <s v="Patient 1699"/>
    <n v="42"/>
    <s v="MALE"/>
    <s v="Medicare"/>
    <n v="51"/>
    <x v="37"/>
    <n v="3.5"/>
    <s v="No"/>
    <n v="875.3"/>
    <x v="2"/>
    <n v="8"/>
  </r>
  <r>
    <s v="1701"/>
    <d v="2026-03-21T00:00:00"/>
    <d v="1899-12-30T18:16:00"/>
    <x v="1"/>
    <x v="1"/>
    <s v="Patient 1701"/>
    <n v="45"/>
    <s v="FEMALE"/>
    <s v="Uninsured"/>
    <n v="53"/>
    <x v="5"/>
    <n v="4.0999999999999996"/>
    <s v="Yes"/>
    <n v="2262.31"/>
    <x v="2"/>
    <n v="6"/>
  </r>
  <r>
    <s v="1698"/>
    <d v="2026-03-21T00:00:00"/>
    <d v="1899-12-30T18:33:00"/>
    <x v="4"/>
    <x v="4"/>
    <s v="Patient 1698"/>
    <n v="80"/>
    <s v="MALE"/>
    <s v="Medicare"/>
    <n v="112"/>
    <x v="24"/>
    <n v="2.2999999999999998"/>
    <s v="No"/>
    <n v="1364.11"/>
    <x v="2"/>
    <n v="8"/>
  </r>
  <r>
    <s v="1700"/>
    <d v="2026-03-21T00:00:00"/>
    <d v="1899-12-30T02:19:00"/>
    <x v="4"/>
    <x v="4"/>
    <s v="Patient 1700"/>
    <n v="7"/>
    <s v="MALE"/>
    <s v="Medicare"/>
    <n v="53"/>
    <x v="18"/>
    <n v="4.4000000000000004"/>
    <s v="No"/>
    <n v="900.68"/>
    <x v="0"/>
    <n v="3"/>
  </r>
  <r>
    <s v="1702"/>
    <d v="2026-03-21T00:00:00"/>
    <d v="1899-12-30T11:00:00"/>
    <x v="4"/>
    <x v="4"/>
    <s v="Patient 1702"/>
    <n v="48"/>
    <s v="FEMALE"/>
    <s v="Medicaid"/>
    <n v="53"/>
    <x v="71"/>
    <n v="2.6"/>
    <s v="No"/>
    <n v="825.61"/>
    <x v="1"/>
    <n v="4"/>
  </r>
  <r>
    <s v="1706"/>
    <d v="2026-03-22T00:00:00"/>
    <d v="1899-12-30T12:04:00"/>
    <x v="4"/>
    <x v="4"/>
    <s v="Patient 1706"/>
    <n v="21"/>
    <s v="FEMALE"/>
    <s v="Private"/>
    <n v="56"/>
    <x v="4"/>
    <n v="3.9"/>
    <m/>
    <n v="1161.3499999999999"/>
    <x v="1"/>
    <n v="7"/>
  </r>
  <r>
    <s v="1708"/>
    <d v="2026-03-22T00:00:00"/>
    <d v="1899-12-30T19:48:00"/>
    <x v="2"/>
    <x v="2"/>
    <s v="Patient 1708"/>
    <n v="44"/>
    <s v="FEMALE"/>
    <s v="Uninsured"/>
    <n v="73"/>
    <x v="16"/>
    <n v="4.9000000000000004"/>
    <s v="No"/>
    <n v="798.04"/>
    <x v="2"/>
    <n v="6"/>
  </r>
  <r>
    <s v="1713"/>
    <d v="2026-03-22T00:00:00"/>
    <d v="1899-12-30T10:13:00"/>
    <x v="2"/>
    <x v="2"/>
    <s v="Patient 1713"/>
    <n v="55"/>
    <s v="MALE"/>
    <s v="Medicaid"/>
    <n v="56"/>
    <x v="32"/>
    <n v="3.2"/>
    <s v="No"/>
    <n v="745.43"/>
    <x v="1"/>
    <n v="5"/>
  </r>
  <r>
    <s v="1711"/>
    <d v="2026-03-22T00:00:00"/>
    <d v="1899-12-30T20:43:00"/>
    <x v="3"/>
    <x v="3"/>
    <s v="Patient 1711"/>
    <n v="-5"/>
    <s v="MALE"/>
    <s v="Private"/>
    <n v="104"/>
    <x v="98"/>
    <n v="3.1"/>
    <s v="No"/>
    <n v="1404.25"/>
    <x v="2"/>
    <n v="4"/>
  </r>
  <r>
    <s v="1714"/>
    <d v="2026-03-22T00:00:00"/>
    <d v="1899-12-30T11:09:00"/>
    <x v="2"/>
    <x v="2"/>
    <s v="Patient 1714"/>
    <n v="47"/>
    <s v="MALE"/>
    <s v="Private"/>
    <n v="29"/>
    <x v="12"/>
    <n v="4.3"/>
    <s v="No"/>
    <n v="729.69"/>
    <x v="1"/>
    <n v="5"/>
  </r>
  <r>
    <s v="1710"/>
    <d v="2026-03-22T00:00:00"/>
    <d v="1899-12-30T10:46:00"/>
    <x v="4"/>
    <x v="4"/>
    <s v="Patient 1710"/>
    <n v="99"/>
    <s v="FEMALE"/>
    <s v="Medicare"/>
    <n v="35"/>
    <x v="7"/>
    <n v="3.9"/>
    <s v="No"/>
    <n v="747.03"/>
    <x v="1"/>
    <n v="7"/>
  </r>
  <r>
    <s v="1709"/>
    <d v="2026-03-22T00:00:00"/>
    <d v="1899-12-30T16:08:00"/>
    <x v="3"/>
    <x v="3"/>
    <s v="Patient 1709"/>
    <n v="60"/>
    <s v="MALE"/>
    <s v="Medicare"/>
    <n v="89"/>
    <x v="70"/>
    <n v="2.8"/>
    <s v="No"/>
    <n v="2096.4699999999998"/>
    <x v="2"/>
    <n v="4"/>
  </r>
  <r>
    <s v="1712"/>
    <d v="2026-03-22T00:00:00"/>
    <d v="1899-12-30T23:18:00"/>
    <x v="3"/>
    <x v="3"/>
    <s v="Patient 1712"/>
    <n v="49"/>
    <s v="MALE"/>
    <s v="Medicare"/>
    <n v="47"/>
    <x v="79"/>
    <n v="2.9"/>
    <s v="No"/>
    <n v="1317.36"/>
    <x v="2"/>
    <n v="4"/>
  </r>
  <r>
    <s v="1707"/>
    <d v="2026-03-22T00:00:00"/>
    <d v="1899-12-30T14:11:00"/>
    <x v="2"/>
    <x v="2"/>
    <s v="Patient 1707"/>
    <n v="26"/>
    <s v="MALE"/>
    <s v="Private"/>
    <n v="21"/>
    <x v="44"/>
    <n v="5"/>
    <s v="No"/>
    <n v="654.14"/>
    <x v="1"/>
    <n v="5"/>
  </r>
  <r>
    <s v="1715"/>
    <d v="2026-03-22T00:00:00"/>
    <d v="1899-12-30T14:51:00"/>
    <x v="1"/>
    <x v="1"/>
    <s v="Patient 1715"/>
    <n v="26"/>
    <s v="FEMALE"/>
    <s v="Private"/>
    <n v="24"/>
    <x v="68"/>
    <n v="4.5999999999999996"/>
    <s v="No"/>
    <n v="1249.8399999999999"/>
    <x v="1"/>
    <n v="4"/>
  </r>
  <r>
    <s v="1716"/>
    <d v="2026-03-22T00:00:00"/>
    <d v="1899-12-30T08:11:00"/>
    <x v="3"/>
    <x v="3"/>
    <s v="Patient 1716"/>
    <n v="42"/>
    <s v="MALE"/>
    <s v="Uninsured"/>
    <n v="57"/>
    <x v="94"/>
    <n v="3.3"/>
    <s v="No"/>
    <n v="1847.41"/>
    <x v="1"/>
    <n v="7"/>
  </r>
  <r>
    <s v="1721"/>
    <d v="2026-03-23T00:00:00"/>
    <d v="1899-12-30T19:41:00"/>
    <x v="1"/>
    <x v="1"/>
    <s v="Patient 1721"/>
    <n v="65"/>
    <s v="MALE"/>
    <s v="Medicare"/>
    <n v="36"/>
    <x v="52"/>
    <n v="3.4"/>
    <s v="No"/>
    <n v="893.87"/>
    <x v="2"/>
    <n v="7"/>
  </r>
  <r>
    <s v="1721"/>
    <d v="2026-03-23T00:00:00"/>
    <d v="1899-12-30T19:41:00"/>
    <x v="1"/>
    <x v="1"/>
    <s v="Patient 1721"/>
    <n v="65"/>
    <s v="MALE"/>
    <s v="Medicare"/>
    <n v="36"/>
    <x v="52"/>
    <n v="3.4"/>
    <s v="No"/>
    <n v="893.87"/>
    <x v="2"/>
    <n v="7"/>
  </r>
  <r>
    <s v="1717"/>
    <d v="2026-03-23T00:00:00"/>
    <d v="1899-12-30T19:36:00"/>
    <x v="1"/>
    <x v="1"/>
    <s v="Patient 1717"/>
    <n v="80"/>
    <s v="MALE"/>
    <s v="Uninsured"/>
    <n v="81"/>
    <x v="53"/>
    <n v="3.3"/>
    <s v="No"/>
    <n v="1533.29"/>
    <x v="2"/>
    <n v="7"/>
  </r>
  <r>
    <s v="1718"/>
    <d v="2026-03-23T00:00:00"/>
    <d v="1899-12-30T16:11:00"/>
    <x v="4"/>
    <x v="4"/>
    <s v="Patient 1718"/>
    <n v="36"/>
    <s v="FEMALE"/>
    <s v="Private"/>
    <n v="76"/>
    <x v="12"/>
    <n v="2.4"/>
    <s v="Yes"/>
    <n v="687.81"/>
    <x v="2"/>
    <n v="12"/>
  </r>
  <r>
    <s v="1719"/>
    <d v="2026-03-23T00:00:00"/>
    <d v="1899-12-30T10:01:00"/>
    <x v="4"/>
    <x v="4"/>
    <s v="Patient 1719"/>
    <n v="67"/>
    <s v="MALE"/>
    <s v="Medicaid"/>
    <n v="69"/>
    <x v="17"/>
    <n v="2.8"/>
    <s v="Yes"/>
    <n v="911.8"/>
    <x v="1"/>
    <n v="6"/>
  </r>
  <r>
    <s v="1720"/>
    <d v="2026-03-23T00:00:00"/>
    <d v="1899-12-30T10:08:00"/>
    <x v="4"/>
    <x v="4"/>
    <s v="Patient 1720"/>
    <n v="34"/>
    <s v="FEMALE"/>
    <s v="Medicare"/>
    <n v="40"/>
    <x v="43"/>
    <n v="3.6"/>
    <s v="No"/>
    <n v="701.58"/>
    <x v="1"/>
    <n v="6"/>
  </r>
  <r>
    <s v="1729"/>
    <d v="2026-03-24T00:00:00"/>
    <d v="1899-12-30T00:43:00"/>
    <x v="1"/>
    <x v="1"/>
    <s v="Patient 1729"/>
    <n v="33"/>
    <s v="MALE"/>
    <s v="Uninsured"/>
    <n v="39"/>
    <x v="12"/>
    <n v="3.9"/>
    <s v="No"/>
    <n v="1411.93"/>
    <x v="0"/>
    <n v="3"/>
  </r>
  <r>
    <s v="1727"/>
    <d v="2026-03-24T00:00:00"/>
    <d v="1899-12-30T12:03:00"/>
    <x v="0"/>
    <x v="0"/>
    <s v="Patient 1727"/>
    <n v="72"/>
    <s v="FEMALE"/>
    <s v="Medicare"/>
    <n v="52"/>
    <x v="103"/>
    <n v="2.7"/>
    <s v="No"/>
    <n v="2024.16"/>
    <x v="1"/>
    <n v="11"/>
  </r>
  <r>
    <s v="1730"/>
    <d v="2026-03-24T00:00:00"/>
    <d v="1899-12-30T12:24:00"/>
    <x v="4"/>
    <x v="4"/>
    <s v="Patient 1730"/>
    <n v="58"/>
    <s v="MALE"/>
    <s v="Medicare"/>
    <n v="48"/>
    <x v="5"/>
    <n v="2.6"/>
    <s v="No"/>
    <n v="892.21"/>
    <x v="1"/>
    <n v="6"/>
  </r>
  <r>
    <s v="1725"/>
    <d v="2026-03-24T00:00:00"/>
    <d v="1899-12-30T17:16:00"/>
    <x v="4"/>
    <x v="4"/>
    <s v="Patient 1725"/>
    <n v="19"/>
    <s v="FEMALE"/>
    <s v="Medicaid"/>
    <n v="82"/>
    <x v="41"/>
    <n v="2.8"/>
    <s v="Yes"/>
    <n v="605.01"/>
    <x v="2"/>
    <n v="10"/>
  </r>
  <r>
    <s v="1726"/>
    <d v="2026-03-24T00:00:00"/>
    <d v="1899-12-30T13:49:00"/>
    <x v="2"/>
    <x v="2"/>
    <s v="Patient 1726"/>
    <n v="42"/>
    <s v="MALE"/>
    <s v="Uninsured"/>
    <n v="41"/>
    <x v="27"/>
    <n v="3.4"/>
    <s v="No"/>
    <n v="668.45"/>
    <x v="1"/>
    <n v="8"/>
  </r>
  <r>
    <s v="1731"/>
    <d v="2026-03-24T00:00:00"/>
    <d v="1899-12-30T06:11:00"/>
    <x v="4"/>
    <x v="4"/>
    <s v="Patient 1731"/>
    <n v="77"/>
    <s v="MALE"/>
    <s v="Medicaid"/>
    <n v="51"/>
    <x v="65"/>
    <n v="2.6"/>
    <s v="No"/>
    <n v="968.28"/>
    <x v="0"/>
    <n v="4"/>
  </r>
  <r>
    <s v="1722"/>
    <d v="2026-03-24T00:00:00"/>
    <d v="1899-12-30T11:25:00"/>
    <x v="4"/>
    <x v="4"/>
    <s v="Patient 1722"/>
    <n v="0"/>
    <s v="FEMALE"/>
    <s v="Uninsured"/>
    <n v="50"/>
    <x v="16"/>
    <n v="3.9"/>
    <s v="No"/>
    <n v="670.41"/>
    <x v="1"/>
    <n v="6"/>
  </r>
  <r>
    <s v="1724"/>
    <d v="2026-03-24T00:00:00"/>
    <d v="1899-12-30T19:20:00"/>
    <x v="4"/>
    <x v="4"/>
    <s v="Patient 1724"/>
    <n v="57"/>
    <s v="FEMALE"/>
    <s v="Private"/>
    <n v="30"/>
    <x v="21"/>
    <n v="3"/>
    <s v="No"/>
    <n v="428.57"/>
    <x v="2"/>
    <n v="10"/>
  </r>
  <r>
    <s v="1723"/>
    <d v="2026-03-24T00:00:00"/>
    <d v="1899-12-30T19:30:00"/>
    <x v="0"/>
    <x v="0"/>
    <s v="Patient 1723"/>
    <n v="31"/>
    <s v="MALE"/>
    <s v="Medicaid"/>
    <n v="40"/>
    <x v="107"/>
    <n v="3.3"/>
    <s v="No"/>
    <n v="3341.73"/>
    <x v="2"/>
    <n v="7"/>
  </r>
  <r>
    <s v="1732"/>
    <d v="2026-03-24T00:00:00"/>
    <d v="1899-12-30T19:59:00"/>
    <x v="0"/>
    <x v="0"/>
    <s v="Patient 1732"/>
    <n v="34"/>
    <s v="MALE"/>
    <s v="Uninsured"/>
    <n v="79"/>
    <x v="77"/>
    <n v="3.8"/>
    <s v="No"/>
    <n v="2735.01"/>
    <x v="2"/>
    <n v="7"/>
  </r>
  <r>
    <s v="1728"/>
    <d v="2026-03-24T00:00:00"/>
    <d v="1899-12-30T17:59:00"/>
    <x v="0"/>
    <x v="0"/>
    <s v="Patient 1728"/>
    <n v="5"/>
    <s v="FEMALE"/>
    <s v="Medicare"/>
    <n v="56"/>
    <x v="38"/>
    <m/>
    <s v="No"/>
    <n v="4922.8599999999997"/>
    <x v="2"/>
    <n v="7"/>
  </r>
  <r>
    <s v="1740"/>
    <d v="2026-03-25T00:00:00"/>
    <d v="1899-12-30T18:22:00"/>
    <x v="4"/>
    <x v="4"/>
    <s v="Patient 1740"/>
    <n v="58"/>
    <s v="FEMALE"/>
    <s v="Private"/>
    <n v="64"/>
    <x v="70"/>
    <n v="3.8"/>
    <s v="Yes"/>
    <n v="924.18"/>
    <x v="2"/>
    <n v="10"/>
  </r>
  <r>
    <s v="1738"/>
    <d v="2026-03-25T00:00:00"/>
    <d v="1899-12-30T18:00:00"/>
    <x v="0"/>
    <x v="0"/>
    <s v="Patient 1738"/>
    <n v="16"/>
    <s v="MALE"/>
    <s v="Private"/>
    <n v="97"/>
    <x v="38"/>
    <n v="3"/>
    <s v="No"/>
    <n v="3262.45"/>
    <x v="2"/>
    <n v="8"/>
  </r>
  <r>
    <s v="1734"/>
    <d v="2026-03-25T00:00:00"/>
    <d v="1899-12-30T12:23:00"/>
    <x v="4"/>
    <x v="4"/>
    <s v="Patient 1734"/>
    <n v="32"/>
    <s v="FEMALE"/>
    <s v="Private"/>
    <n v="36"/>
    <x v="98"/>
    <n v="3.1"/>
    <s v="No"/>
    <n v="945.54"/>
    <x v="1"/>
    <n v="8"/>
  </r>
  <r>
    <s v="1736"/>
    <d v="2026-03-25T00:00:00"/>
    <d v="1899-12-30T10:52:00"/>
    <x v="4"/>
    <x v="4"/>
    <s v="Patient 1736"/>
    <n v="66"/>
    <s v="MALE"/>
    <s v="Medicaid"/>
    <n v="12"/>
    <x v="78"/>
    <m/>
    <s v="No"/>
    <n v="1458.78"/>
    <x v="1"/>
    <n v="8"/>
  </r>
  <r>
    <s v="1739"/>
    <d v="2026-03-25T00:00:00"/>
    <d v="1899-12-30T12:43:00"/>
    <x v="3"/>
    <x v="3"/>
    <s v="Patient 1739"/>
    <n v="37"/>
    <s v="FEMALE"/>
    <s v="Medicare"/>
    <n v="72"/>
    <x v="20"/>
    <n v="3.1"/>
    <s v="No"/>
    <n v="1753.61"/>
    <x v="1"/>
    <n v="4"/>
  </r>
  <r>
    <s v="1737"/>
    <d v="2026-03-25T00:00:00"/>
    <d v="1899-12-30T15:09:00"/>
    <x v="2"/>
    <x v="2"/>
    <s v="Patient 1737"/>
    <n v="56"/>
    <s v="FEMALE"/>
    <s v="Uninsured"/>
    <n v="35"/>
    <x v="21"/>
    <n v="3.7"/>
    <m/>
    <n v="570.82000000000005"/>
    <x v="2"/>
    <n v="7"/>
  </r>
  <r>
    <s v="1733"/>
    <d v="2026-03-25T00:00:00"/>
    <d v="1899-12-30T13:52:00"/>
    <x v="4"/>
    <x v="4"/>
    <s v="Patient 1733"/>
    <n v="31"/>
    <s v="MALE"/>
    <s v="Medicaid"/>
    <n v="38"/>
    <x v="7"/>
    <n v="3.4"/>
    <s v="No"/>
    <n v="1118.06"/>
    <x v="1"/>
    <n v="8"/>
  </r>
  <r>
    <s v="1735"/>
    <d v="2026-03-25T00:00:00"/>
    <d v="1899-12-30T09:17:00"/>
    <x v="4"/>
    <x v="4"/>
    <s v="Patient 1735"/>
    <n v="72"/>
    <s v="FEMALE"/>
    <s v="Medicaid"/>
    <n v="31"/>
    <x v="76"/>
    <n v="2.7"/>
    <s v="No"/>
    <n v="890.15"/>
    <x v="1"/>
    <n v="8"/>
  </r>
  <r>
    <s v="1737"/>
    <d v="2026-03-25T00:00:00"/>
    <d v="1899-12-30T15:09:00"/>
    <x v="2"/>
    <x v="2"/>
    <s v="Patient 1737"/>
    <n v="56"/>
    <s v="FEMALE"/>
    <s v="Uninsured"/>
    <n v="35"/>
    <x v="21"/>
    <n v="3.7"/>
    <m/>
    <n v="570.82000000000005"/>
    <x v="2"/>
    <n v="7"/>
  </r>
  <r>
    <s v="1747"/>
    <d v="2026-03-26T00:00:00"/>
    <d v="1899-12-30T23:37:00"/>
    <x v="3"/>
    <x v="3"/>
    <s v="Patient 1747"/>
    <n v="23"/>
    <s v="FEMALE"/>
    <s v="Private"/>
    <n v="55"/>
    <x v="36"/>
    <n v="4"/>
    <s v="Yes"/>
    <n v="471.64"/>
    <x v="2"/>
    <n v="7"/>
  </r>
  <r>
    <s v="1742"/>
    <d v="2026-03-26T00:00:00"/>
    <d v="1899-12-30T09:54:00"/>
    <x v="1"/>
    <x v="1"/>
    <s v="Patient 1742"/>
    <n v="34"/>
    <s v="FEMALE"/>
    <s v="Medicare"/>
    <n v="43"/>
    <x v="21"/>
    <n v="3.5"/>
    <s v="No"/>
    <n v="1568.66"/>
    <x v="1"/>
    <n v="4"/>
  </r>
  <r>
    <s v="1744"/>
    <d v="2026-03-26T00:00:00"/>
    <d v="1899-12-30T16:54:00"/>
    <x v="2"/>
    <x v="2"/>
    <s v="Patient 1744"/>
    <n v="25"/>
    <s v="FEMALE"/>
    <s v="Private"/>
    <n v="64"/>
    <x v="37"/>
    <n v="3.3"/>
    <s v="No"/>
    <n v="726.87"/>
    <x v="2"/>
    <n v="7"/>
  </r>
  <r>
    <s v="1751"/>
    <d v="2026-03-26T00:00:00"/>
    <d v="1899-12-30T17:36:00"/>
    <x v="0"/>
    <x v="0"/>
    <s v="Patient 1751"/>
    <n v="41"/>
    <s v="MALE"/>
    <s v="Medicare"/>
    <n v="93"/>
    <x v="89"/>
    <n v="2.1"/>
    <s v="No"/>
    <n v="5533.92"/>
    <x v="2"/>
    <n v="5"/>
  </r>
  <r>
    <s v="1741"/>
    <d v="2026-03-26T00:00:00"/>
    <d v="1899-12-30T22:59:00"/>
    <x v="3"/>
    <x v="3"/>
    <s v="Patient 1741"/>
    <n v="54"/>
    <s v="MALE"/>
    <s v="Medicaid"/>
    <n v="80"/>
    <x v="6"/>
    <n v="4.5"/>
    <s v="No"/>
    <n v="1939.7"/>
    <x v="2"/>
    <n v="7"/>
  </r>
  <r>
    <s v="1745"/>
    <d v="2026-03-26T00:00:00"/>
    <d v="1899-12-30T17:54:00"/>
    <x v="4"/>
    <x v="4"/>
    <s v="Patient 1745"/>
    <n v="1"/>
    <s v="MALE"/>
    <s v="Medicare"/>
    <n v="43"/>
    <x v="12"/>
    <n v="3.6"/>
    <s v="No"/>
    <n v="752.01"/>
    <x v="2"/>
    <n v="10"/>
  </r>
  <r>
    <s v="1743"/>
    <d v="2026-03-26T00:00:00"/>
    <d v="1899-12-30T15:10:00"/>
    <x v="1"/>
    <x v="1"/>
    <s v="Patient 1743"/>
    <n v="46"/>
    <s v="MALE"/>
    <s v="Uninsured"/>
    <n v="33"/>
    <x v="88"/>
    <n v="3.3"/>
    <s v="No"/>
    <n v="1829.48"/>
    <x v="2"/>
    <n v="4"/>
  </r>
  <r>
    <s v="1745"/>
    <d v="2026-03-26T00:00:00"/>
    <d v="1899-12-30T17:54:00"/>
    <x v="4"/>
    <x v="4"/>
    <s v="Patient 1745"/>
    <n v="1"/>
    <s v="MALE"/>
    <s v="Medicare"/>
    <n v="43"/>
    <x v="12"/>
    <n v="3.6"/>
    <s v="No"/>
    <n v="752.01"/>
    <x v="2"/>
    <n v="10"/>
  </r>
  <r>
    <s v="1750"/>
    <d v="2026-03-26T00:00:00"/>
    <d v="1899-12-30T17:55:00"/>
    <x v="4"/>
    <x v="4"/>
    <s v="Patient 1750"/>
    <n v="36"/>
    <s v="FEMALE"/>
    <s v="Medicaid"/>
    <n v="83"/>
    <x v="36"/>
    <n v="3.7"/>
    <s v="No"/>
    <n v="1003.69"/>
    <x v="2"/>
    <n v="10"/>
  </r>
  <r>
    <s v="1748"/>
    <d v="2026-03-26T00:00:00"/>
    <d v="1899-12-30T13:00:00"/>
    <x v="2"/>
    <x v="2"/>
    <s v="Patient 1748"/>
    <n v="13"/>
    <s v="FEMALE"/>
    <s v="Uninsured"/>
    <n v="36"/>
    <x v="102"/>
    <n v="4.3"/>
    <s v="Yes"/>
    <n v="949.36"/>
    <x v="1"/>
    <n v="7"/>
  </r>
  <r>
    <s v="1749"/>
    <d v="2026-03-26T00:00:00"/>
    <d v="1899-12-30T06:52:00"/>
    <x v="4"/>
    <x v="4"/>
    <s v="Patient 1749"/>
    <n v="52"/>
    <s v="MALE"/>
    <s v="Medicare"/>
    <n v="50"/>
    <x v="7"/>
    <n v="3.2"/>
    <s v="No"/>
    <n v="1132.57"/>
    <x v="0"/>
    <n v="4"/>
  </r>
  <r>
    <s v="1746"/>
    <d v="2026-03-26T00:00:00"/>
    <d v="1899-12-30T16:51:00"/>
    <x v="4"/>
    <x v="4"/>
    <s v="Patient 1746"/>
    <n v="44"/>
    <s v="FEMALE"/>
    <s v="Uninsured"/>
    <n v="62"/>
    <x v="1"/>
    <n v="3.5"/>
    <s v="No"/>
    <n v="701.91"/>
    <x v="2"/>
    <n v="10"/>
  </r>
  <r>
    <s v="1753"/>
    <d v="2026-03-27T00:00:00"/>
    <d v="1899-12-30T12:01:00"/>
    <x v="0"/>
    <x v="0"/>
    <s v="Patient 1753"/>
    <n v="45"/>
    <s v="MALE"/>
    <s v="Uninsured"/>
    <n v="90"/>
    <x v="87"/>
    <n v="3.8"/>
    <s v="No"/>
    <n v="3150.23"/>
    <x v="1"/>
    <n v="8"/>
  </r>
  <r>
    <s v="1756"/>
    <d v="2026-03-27T00:00:00"/>
    <d v="1899-12-30T23:50:00"/>
    <x v="4"/>
    <x v="4"/>
    <s v="Patient 1756"/>
    <n v="14"/>
    <s v="FEMALE"/>
    <s v="Medicaid"/>
    <n v="37"/>
    <x v="12"/>
    <m/>
    <s v="No"/>
    <n v="1293.18"/>
    <x v="2"/>
    <n v="8"/>
  </r>
  <r>
    <s v="1755"/>
    <d v="2026-03-27T00:00:00"/>
    <d v="1899-12-30T04:25:00"/>
    <x v="4"/>
    <x v="4"/>
    <s v="Patient 1755"/>
    <n v="46"/>
    <s v="FEMALE"/>
    <s v="Uninsured"/>
    <n v="58"/>
    <x v="11"/>
    <n v="3.6"/>
    <s v="No"/>
    <n v="906.22"/>
    <x v="0"/>
    <n v="4"/>
  </r>
  <r>
    <s v="1758"/>
    <d v="2026-03-27T00:00:00"/>
    <d v="1899-12-30T07:15:00"/>
    <x v="3"/>
    <x v="3"/>
    <s v="Patient 1758"/>
    <n v="30"/>
    <s v="FEMALE"/>
    <s v="Medicaid"/>
    <n v="69"/>
    <x v="18"/>
    <n v="2.4"/>
    <s v="No"/>
    <n v="1116.19"/>
    <x v="1"/>
    <n v="6"/>
  </r>
  <r>
    <s v="1757"/>
    <d v="2026-03-27T00:00:00"/>
    <d v="1899-12-30T13:28:00"/>
    <x v="0"/>
    <x v="0"/>
    <s v="Patient 1757"/>
    <n v="51"/>
    <s v="FEMALE"/>
    <s v="Medicare"/>
    <n v="73"/>
    <x v="39"/>
    <n v="3.2"/>
    <s v="No"/>
    <n v="3127.39"/>
    <x v="1"/>
    <n v="8"/>
  </r>
  <r>
    <s v="1752"/>
    <d v="2026-03-27T00:00:00"/>
    <d v="1899-12-30T20:57:00"/>
    <x v="1"/>
    <x v="1"/>
    <s v="Patient 1752"/>
    <n v="64"/>
    <s v="MALE"/>
    <s v="Private"/>
    <n v="37"/>
    <x v="8"/>
    <n v="2.7"/>
    <s v="No"/>
    <n v="1853.85"/>
    <x v="2"/>
    <n v="3"/>
  </r>
  <r>
    <s v="1760"/>
    <d v="2026-03-27T00:00:00"/>
    <d v="1899-12-30T07:38:00"/>
    <x v="4"/>
    <x v="4"/>
    <s v="Patient 1760"/>
    <n v="32"/>
    <s v="MALE"/>
    <s v="Uninsured"/>
    <n v="46"/>
    <x v="102"/>
    <n v="3.8"/>
    <s v="No"/>
    <n v="1140.55"/>
    <x v="1"/>
    <n v="9"/>
  </r>
  <r>
    <s v="1754"/>
    <d v="2026-03-27T00:00:00"/>
    <d v="1899-12-30T14:24:00"/>
    <x v="1"/>
    <x v="1"/>
    <s v="Patient 1754"/>
    <n v="45"/>
    <s v="FEMALE"/>
    <s v="Medicare"/>
    <n v="39"/>
    <x v="91"/>
    <n v="3.5"/>
    <s v="No"/>
    <n v="1439.11"/>
    <x v="1"/>
    <n v="4"/>
  </r>
  <r>
    <s v="1759"/>
    <d v="2026-03-27T00:00:00"/>
    <d v="1899-12-30T14:14:00"/>
    <x v="4"/>
    <x v="4"/>
    <s v="Patient 1759"/>
    <n v="47"/>
    <s v="FEMALE"/>
    <s v="Uninsured"/>
    <n v="58"/>
    <x v="90"/>
    <n v="3.4"/>
    <m/>
    <n v="1159.29"/>
    <x v="1"/>
    <n v="9"/>
  </r>
  <r>
    <s v="1764"/>
    <d v="2026-03-28T00:00:00"/>
    <d v="1899-12-30T08:04:00"/>
    <x v="0"/>
    <x v="0"/>
    <s v="Patient 1764"/>
    <n v="7"/>
    <s v="MALE"/>
    <s v="Uninsured"/>
    <n v="59"/>
    <x v="85"/>
    <n v="3.2"/>
    <s v="No"/>
    <n v="3138.13"/>
    <x v="1"/>
    <n v="6"/>
  </r>
  <r>
    <s v="1770"/>
    <d v="2026-03-28T00:00:00"/>
    <d v="1899-12-30T06:39:00"/>
    <x v="2"/>
    <x v="2"/>
    <s v="Patient 1770"/>
    <n v="21"/>
    <s v="MALE"/>
    <s v="Medicaid"/>
    <n v="44"/>
    <x v="37"/>
    <n v="4.8"/>
    <s v="No"/>
    <n v="551.70000000000005"/>
    <x v="0"/>
    <n v="3"/>
  </r>
  <r>
    <s v="1763"/>
    <d v="2026-03-28T00:00:00"/>
    <d v="1899-12-30T14:07:00"/>
    <x v="0"/>
    <x v="0"/>
    <s v="Patient 1763"/>
    <n v="41"/>
    <s v="MALE"/>
    <s v="Private"/>
    <n v="104"/>
    <x v="61"/>
    <n v="2.7"/>
    <s v="Yes"/>
    <n v="2769.43"/>
    <x v="1"/>
    <n v="6"/>
  </r>
  <r>
    <s v="1766"/>
    <d v="2026-03-28T00:00:00"/>
    <d v="1899-12-30T15:24:00"/>
    <x v="1"/>
    <x v="1"/>
    <s v="Patient 1766"/>
    <n v="1"/>
    <s v="MALE"/>
    <s v="Medicare"/>
    <n v="54"/>
    <x v="12"/>
    <n v="2.4"/>
    <s v="No"/>
    <n v="744.66"/>
    <x v="2"/>
    <n v="6"/>
  </r>
  <r>
    <s v="1773"/>
    <d v="2026-03-28T00:00:00"/>
    <d v="1899-12-30T15:14:00"/>
    <x v="1"/>
    <x v="1"/>
    <s v="Patient 1773"/>
    <n v="1"/>
    <s v="MALE"/>
    <s v="Uninsured"/>
    <n v="30"/>
    <x v="37"/>
    <n v="3.8"/>
    <s v="No"/>
    <n v="1852.56"/>
    <x v="2"/>
    <n v="6"/>
  </r>
  <r>
    <s v="1771"/>
    <d v="2026-03-28T00:00:00"/>
    <d v="1899-12-30T20:08:00"/>
    <x v="1"/>
    <x v="1"/>
    <s v="Patient 1771"/>
    <n v="60"/>
    <s v="MALE"/>
    <s v="Uninsured"/>
    <n v="83"/>
    <x v="94"/>
    <n v="3.3"/>
    <s v="No"/>
    <n v="2013.45"/>
    <x v="2"/>
    <n v="6"/>
  </r>
  <r>
    <s v="1765"/>
    <d v="2026-03-28T00:00:00"/>
    <d v="1899-12-30T19:22:00"/>
    <x v="1"/>
    <x v="1"/>
    <s v="Patient 1765"/>
    <n v="49"/>
    <s v="FEMALE"/>
    <s v="Medicaid"/>
    <n v="63"/>
    <x v="53"/>
    <m/>
    <s v="No"/>
    <n v="959.37"/>
    <x v="2"/>
    <n v="6"/>
  </r>
  <r>
    <s v="1762"/>
    <d v="2026-03-28T00:00:00"/>
    <d v="1899-12-30T12:18:00"/>
    <x v="0"/>
    <x v="0"/>
    <s v="Patient 1762"/>
    <n v="102"/>
    <s v="FEMALE"/>
    <s v="Private"/>
    <n v="83"/>
    <x v="101"/>
    <n v="3.4"/>
    <s v="Yes"/>
    <n v="3678.2"/>
    <x v="1"/>
    <n v="6"/>
  </r>
  <r>
    <s v="1761"/>
    <d v="2026-03-28T00:00:00"/>
    <d v="1899-12-30T15:58:00"/>
    <x v="0"/>
    <x v="0"/>
    <s v="Patient 1761"/>
    <n v="10"/>
    <s v="FEMALE"/>
    <s v="Medicare"/>
    <n v="58"/>
    <x v="0"/>
    <n v="2.9"/>
    <s v="No"/>
    <n v="3564.52"/>
    <x v="2"/>
    <n v="3"/>
  </r>
  <r>
    <s v="1767"/>
    <d v="2026-03-28T00:00:00"/>
    <d v="1899-12-30T14:45:00"/>
    <x v="4"/>
    <x v="4"/>
    <s v="Patient 1767"/>
    <n v="999"/>
    <s v="MALE"/>
    <s v="Medicare"/>
    <n v="59"/>
    <x v="76"/>
    <n v="3.2"/>
    <s v="No"/>
    <n v="1066.19"/>
    <x v="1"/>
    <n v="8"/>
  </r>
  <r>
    <s v="1769"/>
    <d v="2026-03-28T00:00:00"/>
    <d v="1899-12-30T16:17:00"/>
    <x v="1"/>
    <x v="1"/>
    <s v="Patient 1769"/>
    <n v="47"/>
    <s v="MALE"/>
    <s v="Private"/>
    <n v="51"/>
    <x v="47"/>
    <n v="3.3"/>
    <s v="No"/>
    <n v="2361.5300000000002"/>
    <x v="2"/>
    <n v="6"/>
  </r>
  <r>
    <s v="1773"/>
    <d v="2026-03-28T00:00:00"/>
    <d v="1899-12-30T15:14:00"/>
    <x v="1"/>
    <x v="1"/>
    <s v="Patient 1773"/>
    <n v="1"/>
    <s v="MALE"/>
    <s v="Uninsured"/>
    <n v="30"/>
    <x v="37"/>
    <n v="3.8"/>
    <s v="No"/>
    <n v="1852.56"/>
    <x v="2"/>
    <n v="6"/>
  </r>
  <r>
    <s v="1772"/>
    <d v="2026-03-28T00:00:00"/>
    <d v="1899-12-30T16:07:00"/>
    <x v="1"/>
    <x v="1"/>
    <s v="Patient 1772"/>
    <n v="34"/>
    <s v="FEMALE"/>
    <s v="Medicaid"/>
    <n v="49"/>
    <x v="83"/>
    <n v="2.9"/>
    <s v="No"/>
    <n v="2446.0500000000002"/>
    <x v="2"/>
    <n v="6"/>
  </r>
  <r>
    <s v="1772"/>
    <d v="2026-03-28T00:00:00"/>
    <d v="1899-12-30T16:07:00"/>
    <x v="1"/>
    <x v="1"/>
    <s v="Patient 1772"/>
    <n v="34"/>
    <s v="FEMALE"/>
    <s v="Medicaid"/>
    <n v="49"/>
    <x v="83"/>
    <n v="2.9"/>
    <s v="No"/>
    <n v="2446.0500000000002"/>
    <x v="2"/>
    <n v="6"/>
  </r>
  <r>
    <s v="1768"/>
    <d v="2026-03-28T00:00:00"/>
    <d v="1899-12-30T10:46:00"/>
    <x v="1"/>
    <x v="1"/>
    <s v="Patient 1768"/>
    <n v="71"/>
    <s v="FEMALE"/>
    <s v="Private"/>
    <n v="33"/>
    <x v="27"/>
    <n v="3.1"/>
    <s v="No"/>
    <n v="1490.56"/>
    <x v="1"/>
    <n v="5"/>
  </r>
  <r>
    <s v="1781"/>
    <d v="2026-03-29T00:00:00"/>
    <d v="1899-12-30T07:35:00"/>
    <x v="0"/>
    <x v="0"/>
    <s v="Patient 1781"/>
    <n v="26"/>
    <s v="FEMALE"/>
    <s v="Medicaid"/>
    <n v="76"/>
    <x v="34"/>
    <n v="3.4"/>
    <s v="Yes"/>
    <n v="4024.72"/>
    <x v="1"/>
    <n v="7"/>
  </r>
  <r>
    <s v="1777"/>
    <d v="2026-03-29T00:00:00"/>
    <d v="1899-12-30T18:29:00"/>
    <x v="0"/>
    <x v="0"/>
    <s v="Patient 1777"/>
    <n v="34"/>
    <s v="MALE"/>
    <s v="Medicaid"/>
    <n v="94"/>
    <x v="101"/>
    <n v="2.4"/>
    <s v="No"/>
    <n v="2198.7399999999998"/>
    <x v="2"/>
    <n v="4"/>
  </r>
  <r>
    <s v="1776"/>
    <d v="2026-03-29T00:00:00"/>
    <d v="1899-12-30T13:03:00"/>
    <x v="1"/>
    <x v="1"/>
    <s v="Patient 1776"/>
    <n v="82"/>
    <s v="FEMALE"/>
    <s v="Medicare"/>
    <n v="50"/>
    <x v="11"/>
    <n v="4.3"/>
    <s v="No"/>
    <n v="2716.47"/>
    <x v="1"/>
    <n v="3"/>
  </r>
  <r>
    <s v="1775"/>
    <d v="2026-03-29T00:00:00"/>
    <d v="1899-12-30T18:45:00"/>
    <x v="0"/>
    <x v="0"/>
    <s v="Patient 1775"/>
    <n v="49"/>
    <s v="MALE"/>
    <s v="Medicare"/>
    <n v="139"/>
    <x v="84"/>
    <n v="2.7"/>
    <s v="No"/>
    <m/>
    <x v="2"/>
    <n v="4"/>
  </r>
  <r>
    <s v="1782"/>
    <d v="2026-03-29T00:00:00"/>
    <d v="1899-12-30T21:02:00"/>
    <x v="2"/>
    <x v="2"/>
    <s v="Patient 1782"/>
    <n v="29"/>
    <s v="MALE"/>
    <s v="Medicaid"/>
    <n v="54"/>
    <x v="71"/>
    <n v="3.4"/>
    <s v="Yes"/>
    <n v="782.12"/>
    <x v="2"/>
    <n v="6"/>
  </r>
  <r>
    <s v="1779"/>
    <d v="2026-03-29T00:00:00"/>
    <d v="1899-12-30T19:54:00"/>
    <x v="4"/>
    <x v="4"/>
    <s v="Patient 1779"/>
    <n v="47"/>
    <s v="MALE"/>
    <s v="Medicare"/>
    <n v="84"/>
    <x v="78"/>
    <n v="4"/>
    <s v="No"/>
    <n v="612.52"/>
    <x v="2"/>
    <n v="9"/>
  </r>
  <r>
    <s v="1774"/>
    <d v="2026-03-29T00:00:00"/>
    <d v="1899-12-30T20:06:00"/>
    <x v="2"/>
    <x v="2"/>
    <s v="Patient 1774"/>
    <n v="61"/>
    <s v="MALE"/>
    <s v="Private"/>
    <n v="11"/>
    <x v="94"/>
    <m/>
    <s v="No"/>
    <n v="768.42"/>
    <x v="2"/>
    <n v="6"/>
  </r>
  <r>
    <s v="1780"/>
    <d v="2026-03-29T00:00:00"/>
    <d v="1899-12-30T20:57:00"/>
    <x v="3"/>
    <x v="3"/>
    <s v="Patient 1780"/>
    <n v="92"/>
    <s v="MALE"/>
    <s v="Medicare"/>
    <n v="79"/>
    <x v="17"/>
    <n v="2.4"/>
    <s v="No"/>
    <n v="1591.45"/>
    <x v="2"/>
    <n v="6"/>
  </r>
  <r>
    <s v="1778"/>
    <d v="2026-03-29T00:00:00"/>
    <d v="1899-12-30T09:17:00"/>
    <x v="4"/>
    <x v="4"/>
    <s v="Patient 1778"/>
    <n v="59"/>
    <s v="MALE"/>
    <s v="Private"/>
    <n v="76"/>
    <x v="22"/>
    <n v="2.9"/>
    <s v="No"/>
    <n v="736.51"/>
    <x v="1"/>
    <n v="7"/>
  </r>
  <r>
    <s v="1784"/>
    <d v="2026-03-30T00:00:00"/>
    <d v="1899-12-30T16:13:00"/>
    <x v="4"/>
    <x v="4"/>
    <s v="Patient 1784"/>
    <n v="44"/>
    <s v="FEMALE"/>
    <s v="Medicare"/>
    <n v="54"/>
    <x v="21"/>
    <n v="3.3"/>
    <s v="No"/>
    <n v="896.65"/>
    <x v="2"/>
    <n v="12"/>
  </r>
  <r>
    <s v="1785"/>
    <d v="2026-03-30T00:00:00"/>
    <d v="1899-12-30T20:12:00"/>
    <x v="4"/>
    <x v="4"/>
    <s v="Patient 1785"/>
    <n v="62"/>
    <s v="FEMALE"/>
    <s v="Private"/>
    <n v="87"/>
    <x v="41"/>
    <n v="3.4"/>
    <s v="No"/>
    <n v="559.88"/>
    <x v="2"/>
    <n v="12"/>
  </r>
  <r>
    <s v="1788"/>
    <d v="2026-03-30T00:00:00"/>
    <d v="1899-12-30T19:16:00"/>
    <x v="0"/>
    <x v="0"/>
    <s v="Patient 1788"/>
    <n v="8"/>
    <s v="MALE"/>
    <s v="Medicaid"/>
    <n v="73"/>
    <x v="54"/>
    <n v="3.5"/>
    <m/>
    <n v="4808.8599999999997"/>
    <x v="2"/>
    <n v="5"/>
  </r>
  <r>
    <s v="1787"/>
    <d v="2026-03-30T00:00:00"/>
    <d v="1899-12-30T08:49:00"/>
    <x v="0"/>
    <x v="0"/>
    <s v="Patient 1787"/>
    <n v="42"/>
    <s v="FEMALE"/>
    <s v="Medicare"/>
    <n v="36"/>
    <x v="13"/>
    <n v="3.8"/>
    <s v="No"/>
    <n v="3781.76"/>
    <x v="1"/>
    <n v="8"/>
  </r>
  <r>
    <s v="1786"/>
    <d v="2026-03-30T00:00:00"/>
    <d v="1899-12-30T13:10:00"/>
    <x v="0"/>
    <x v="0"/>
    <s v="Patient 1786"/>
    <n v="58"/>
    <s v="FEMALE"/>
    <s v="Private"/>
    <n v="57"/>
    <x v="84"/>
    <n v="3.2"/>
    <s v="No"/>
    <n v="2250.83"/>
    <x v="1"/>
    <n v="8"/>
  </r>
  <r>
    <s v="1783"/>
    <d v="2026-03-30T00:00:00"/>
    <d v="1899-12-30T23:03:00"/>
    <x v="0"/>
    <x v="0"/>
    <s v="Patient 1783"/>
    <n v="37"/>
    <s v="FEMALE"/>
    <s v="Private"/>
    <n v="42"/>
    <x v="38"/>
    <n v="3.7"/>
    <s v="No"/>
    <n v="3491.49"/>
    <x v="2"/>
    <n v="5"/>
  </r>
  <r>
    <s v="1798"/>
    <d v="2026-03-31T00:00:00"/>
    <d v="1899-12-30T23:48:00"/>
    <x v="2"/>
    <x v="2"/>
    <s v="Patient 1798"/>
    <n v="45"/>
    <s v="MALE"/>
    <s v="Medicaid"/>
    <n v="24"/>
    <x v="31"/>
    <n v="4.4000000000000004"/>
    <s v="No"/>
    <n v="530.46"/>
    <x v="2"/>
    <n v="3"/>
  </r>
  <r>
    <s v="1789"/>
    <d v="2026-03-31T00:00:00"/>
    <d v="1899-12-30T07:22:00"/>
    <x v="4"/>
    <x v="4"/>
    <s v="Patient 1789"/>
    <n v="57"/>
    <s v="MALE"/>
    <s v="Private"/>
    <n v="51"/>
    <x v="18"/>
    <n v="3"/>
    <s v="No"/>
    <n v="1059.1099999999999"/>
    <x v="1"/>
    <n v="9"/>
  </r>
  <r>
    <s v="1793"/>
    <d v="2026-03-31T00:00:00"/>
    <d v="1899-12-30T21:41:00"/>
    <x v="3"/>
    <x v="3"/>
    <s v="Patient 1793"/>
    <n v="54"/>
    <s v="FEMALE"/>
    <s v="Private"/>
    <n v="67"/>
    <x v="12"/>
    <n v="3"/>
    <s v="No"/>
    <n v="1639.33"/>
    <x v="2"/>
    <n v="5"/>
  </r>
  <r>
    <s v="1796"/>
    <d v="2026-03-31T00:00:00"/>
    <d v="1899-12-30T21:37:00"/>
    <x v="2"/>
    <x v="2"/>
    <s v="Patient 1796"/>
    <n v="33"/>
    <s v="FEMALE"/>
    <s v="Private"/>
    <n v="46"/>
    <x v="65"/>
    <n v="3.5"/>
    <s v="No"/>
    <n v="642.37"/>
    <x v="2"/>
    <n v="3"/>
  </r>
  <r>
    <s v="1794"/>
    <d v="2026-03-31T00:00:00"/>
    <d v="1899-12-30T14:08:00"/>
    <x v="2"/>
    <x v="2"/>
    <s v="Patient 1794"/>
    <n v="71"/>
    <s v="MALE"/>
    <s v="Medicare"/>
    <n v="22"/>
    <x v="82"/>
    <n v="4.7"/>
    <s v="No"/>
    <n v="1039.08"/>
    <x v="1"/>
    <n v="6"/>
  </r>
  <r>
    <s v="1791"/>
    <d v="2026-03-31T00:00:00"/>
    <d v="1899-12-30T10:30:00"/>
    <x v="4"/>
    <x v="4"/>
    <s v="Patient 1791"/>
    <n v="55"/>
    <s v="FEMALE"/>
    <s v="Medicare"/>
    <n v="25"/>
    <x v="71"/>
    <n v="4.5999999999999996"/>
    <s v="No"/>
    <n v="812.91"/>
    <x v="1"/>
    <n v="9"/>
  </r>
  <r>
    <s v="1795"/>
    <d v="2026-03-31T00:00:00"/>
    <d v="1899-12-30T04:19:00"/>
    <x v="3"/>
    <x v="3"/>
    <s v="Patient 1795"/>
    <n v="73"/>
    <s v="FEMALE"/>
    <s v="Medicare"/>
    <n v="54"/>
    <x v="9"/>
    <n v="2.8"/>
    <s v="No"/>
    <n v="981.64"/>
    <x v="0"/>
    <n v="1"/>
  </r>
  <r>
    <s v="1792"/>
    <d v="2026-03-31T00:00:00"/>
    <d v="1899-12-30T13:12:00"/>
    <x v="0"/>
    <x v="0"/>
    <s v="Patient 1792"/>
    <n v="42"/>
    <s v="MALE"/>
    <s v="Private"/>
    <n v="48"/>
    <x v="87"/>
    <n v="3.5"/>
    <s v="No"/>
    <n v="3076.71"/>
    <x v="1"/>
    <n v="11"/>
  </r>
  <r>
    <s v="1790"/>
    <d v="2026-03-31T00:00:00"/>
    <d v="1899-12-30T11:37:00"/>
    <x v="2"/>
    <x v="2"/>
    <s v="Patient 1790"/>
    <n v="31"/>
    <s v="FEMALE"/>
    <s v="Private"/>
    <n v="12"/>
    <x v="26"/>
    <n v="4.8"/>
    <s v="No"/>
    <n v="976.68"/>
    <x v="1"/>
    <n v="6"/>
  </r>
  <r>
    <s v="1797"/>
    <d v="2026-03-31T00:00:00"/>
    <d v="1899-12-30T06:14:00"/>
    <x v="0"/>
    <x v="0"/>
    <s v="Patient 1797"/>
    <n v="18"/>
    <s v="FEMALE"/>
    <s v="Private"/>
    <n v="63"/>
    <x v="65"/>
    <n v="3.7"/>
    <s v="No"/>
    <n v="2866.73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1AE63-7038-4D29-8440-0C6D49A0DB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7:C38" firstHeaderRow="0" firstDataRow="1" firstDataCol="1"/>
  <pivotFields count="16">
    <pivotField showAll="0"/>
    <pivotField numFmtId="14" showAll="0"/>
    <pivotField numFmtId="166" showAll="0"/>
    <pivotField axis="axisRow" showAll="0" defaultSubtotal="0">
      <items count="5">
        <item x="1"/>
        <item x="4"/>
        <item x="3"/>
        <item x="2"/>
        <item x="0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09">
        <item x="12"/>
        <item x="98"/>
        <item x="19"/>
        <item x="42"/>
        <item x="71"/>
        <item x="83"/>
        <item x="75"/>
        <item x="58"/>
        <item x="28"/>
        <item x="73"/>
        <item x="82"/>
        <item x="94"/>
        <item x="78"/>
        <item x="32"/>
        <item x="79"/>
        <item x="17"/>
        <item x="64"/>
        <item x="47"/>
        <item x="102"/>
        <item x="81"/>
        <item x="41"/>
        <item x="16"/>
        <item x="26"/>
        <item x="22"/>
        <item x="68"/>
        <item x="18"/>
        <item x="31"/>
        <item x="53"/>
        <item x="44"/>
        <item x="50"/>
        <item x="9"/>
        <item x="70"/>
        <item x="45"/>
        <item x="69"/>
        <item x="76"/>
        <item x="21"/>
        <item x="4"/>
        <item x="5"/>
        <item x="36"/>
        <item x="8"/>
        <item x="40"/>
        <item x="25"/>
        <item x="46"/>
        <item x="57"/>
        <item x="20"/>
        <item x="7"/>
        <item x="6"/>
        <item x="24"/>
        <item x="27"/>
        <item x="51"/>
        <item x="56"/>
        <item x="52"/>
        <item x="65"/>
        <item x="91"/>
        <item x="37"/>
        <item x="43"/>
        <item x="11"/>
        <item x="54"/>
        <item x="67"/>
        <item x="3"/>
        <item x="60"/>
        <item x="30"/>
        <item x="49"/>
        <item x="90"/>
        <item x="23"/>
        <item x="88"/>
        <item x="93"/>
        <item x="100"/>
        <item x="2"/>
        <item x="1"/>
        <item x="62"/>
        <item x="74"/>
        <item x="38"/>
        <item x="0"/>
        <item x="48"/>
        <item x="29"/>
        <item x="13"/>
        <item x="85"/>
        <item x="84"/>
        <item x="89"/>
        <item x="35"/>
        <item x="77"/>
        <item x="95"/>
        <item x="99"/>
        <item x="86"/>
        <item x="105"/>
        <item x="103"/>
        <item x="61"/>
        <item x="39"/>
        <item x="92"/>
        <item x="59"/>
        <item x="63"/>
        <item x="101"/>
        <item x="107"/>
        <item x="80"/>
        <item x="72"/>
        <item x="104"/>
        <item x="34"/>
        <item x="97"/>
        <item x="106"/>
        <item x="66"/>
        <item x="96"/>
        <item x="33"/>
        <item x="87"/>
        <item x="10"/>
        <item x="55"/>
        <item x="15"/>
        <item x="14"/>
        <item t="default"/>
      </items>
    </pivotField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2">
    <field x="3"/>
    <field x="14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reatment Time (min)" fld="10" subtotal="average" baseField="3" baseItem="0"/>
    <dataField name="Average of Satisfaction (1-5)" fld="11" subtotal="average" baseField="3" baseItem="0"/>
  </dataFields>
  <formats count="1">
    <format dxfId="7">
      <pivotArea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A183DCD-DE40-476C-999E-D82F6EE05B30}" autoFormatId="16" applyNumberFormats="0" applyBorderFormats="0" applyFontFormats="0" applyPatternFormats="0" applyAlignmentFormats="0" applyWidthHeightFormats="0">
  <queryTableRefresh nextId="7">
    <queryTableFields count="4">
      <queryTableField id="5" name="Department Code" tableColumnId="1"/>
      <queryTableField id="2" name="Full Department Name" tableColumnId="2"/>
      <queryTableField id="3" name="Standard Base Cost ($)" tableColumnId="3"/>
      <queryTableField id="4" name="Department Manage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89C44FD-D60E-432C-8F9F-7C69E20AED41}" autoFormatId="16" applyNumberFormats="0" applyBorderFormats="0" applyFontFormats="0" applyPatternFormats="0" applyAlignmentFormats="0" applyWidthHeightFormats="0">
  <queryTableRefresh nextId="7">
    <queryTableFields count="5">
      <queryTableField id="1" name="Log Date" tableColumnId="1"/>
      <queryTableField id="2" name="Shift" tableColumnId="2"/>
      <queryTableField id="3" name="Shift Hours" tableColumnId="3"/>
      <queryTableField id="4" name="Staff on Duty" tableColumnId="4"/>
      <queryTableField id="6" name="Department Cod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4E5ABF-E6B6-480A-83FF-5205212260C7}" autoFormatId="16" applyNumberFormats="0" applyBorderFormats="0" applyFontFormats="0" applyPatternFormats="0" applyAlignmentFormats="0" applyWidthHeightFormats="0">
  <queryTableRefresh nextId="20" unboundColumnsRight="2">
    <queryTableFields count="16">
      <queryTableField id="1" name="Visit ID" tableColumnId="1"/>
      <queryTableField id="2" name="Visit Date" tableColumnId="2"/>
      <queryTableField id="3" name="Arrival Time" tableColumnId="3"/>
      <queryTableField id="14" name="Department Code" tableColumnId="4"/>
      <queryTableField id="15" name="Department Full Name" tableColumnId="14"/>
      <queryTableField id="5" name="Patient Name" tableColumnId="5"/>
      <queryTableField id="6" name="Age" tableColumnId="6"/>
      <queryTableField id="7" name="Gender" tableColumnId="7"/>
      <queryTableField id="8" name="Insurance" tableColumnId="8"/>
      <queryTableField id="9" name="Wait Time (min)" tableColumnId="9"/>
      <queryTableField id="10" name="Treatment Time (min)" tableColumnId="10"/>
      <queryTableField id="11" name="Satisfaction (1-5)" tableColumnId="11"/>
      <queryTableField id="12" name="Readmitted 30d" tableColumnId="12"/>
      <queryTableField id="13" name="Charge Amount" tableColumnId="13"/>
      <queryTableField id="18" dataBound="0" tableColumnId="16"/>
      <queryTableField id="19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87A079-5BF5-45A3-84B2-660890AAA251}" name="Dept_Reference" displayName="Dept_Reference" ref="A1:D6" tableType="queryTable" totalsRowShown="0">
  <autoFilter ref="A1:D6" xr:uid="{3587A079-5BF5-45A3-84B2-660890AAA251}"/>
  <sortState xmlns:xlrd2="http://schemas.microsoft.com/office/spreadsheetml/2017/richdata2" ref="A2:D6">
    <sortCondition ref="A2:A6"/>
  </sortState>
  <tableColumns count="4">
    <tableColumn id="1" xr3:uid="{FAD124CC-463D-4394-B18C-4E4DF055FC4E}" uniqueName="1" name="Department Code" queryTableFieldId="5" dataDxfId="15"/>
    <tableColumn id="2" xr3:uid="{00839E3C-D95D-47D8-AB5F-3ACD881F8CED}" uniqueName="2" name="Full Department Name" queryTableFieldId="2" dataDxfId="14"/>
    <tableColumn id="3" xr3:uid="{C99494DC-8025-4760-90D6-B6BC05B7DF23}" uniqueName="3" name="Standard Base Cost ($)" queryTableFieldId="3" dataDxfId="13"/>
    <tableColumn id="4" xr3:uid="{A84314A2-B9AE-4EB7-B594-091B81F16B15}" uniqueName="4" name="Department Manager" queryTableFieldId="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469CE5-7477-476A-A153-ED0ACC4F0634}" name="Daily_Staffing_Log" displayName="Daily_Staffing_Log" ref="A1:E1351" tableType="queryTable" totalsRowShown="0">
  <autoFilter ref="A1:E1351" xr:uid="{29469CE5-7477-476A-A153-ED0ACC4F0634}"/>
  <tableColumns count="5">
    <tableColumn id="1" xr3:uid="{ECFDB122-4057-4DAE-AA35-0183D9209F89}" uniqueName="1" name="Log Date" queryTableFieldId="1" dataDxfId="11"/>
    <tableColumn id="2" xr3:uid="{2AAB7FD2-BF39-48EA-96F4-6A52FE1DEC2C}" uniqueName="2" name="Shift" queryTableFieldId="2" dataDxfId="10"/>
    <tableColumn id="3" xr3:uid="{7752A31C-F26A-4CC2-AACC-533F89FD8D80}" uniqueName="3" name="Shift Hours" queryTableFieldId="3" dataDxfId="9"/>
    <tableColumn id="4" xr3:uid="{DE610087-7FAD-4AE6-81A1-126F9EE46E11}" uniqueName="4" name="Staff on Duty" queryTableFieldId="4"/>
    <tableColumn id="5" xr3:uid="{976D7767-3CBC-4D18-AE9B-D13C065A3C71}" uniqueName="5" name="Department Code" queryTableFieldId="6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41706-75C5-4A80-BC85-EEC688C3AF50}" name="EHR_Export" displayName="EHR_Export" ref="A1:P817" tableType="queryTable" totalsRowShown="0">
  <autoFilter ref="A1:P817" xr:uid="{63641706-75C5-4A80-BC85-EEC688C3AF50}"/>
  <sortState xmlns:xlrd2="http://schemas.microsoft.com/office/spreadsheetml/2017/richdata2" ref="A2:P817">
    <sortCondition ref="B2:B817"/>
  </sortState>
  <tableColumns count="16">
    <tableColumn id="1" xr3:uid="{90F807A9-8C5C-44A0-9527-F6B2E2C64E90}" uniqueName="1" name="Visit ID" queryTableFieldId="1" dataDxfId="39" totalsRowDxfId="38"/>
    <tableColumn id="2" xr3:uid="{78C3C053-54DD-4922-9C75-78CFA87D2C1E}" uniqueName="2" name="Visit Date" queryTableFieldId="2" dataDxfId="37" totalsRowDxfId="36"/>
    <tableColumn id="3" xr3:uid="{C8F02825-BB71-40D7-91AC-F7B25C55953D}" uniqueName="3" name="Arrival Time" queryTableFieldId="3" dataDxfId="35" totalsRowDxfId="34"/>
    <tableColumn id="4" xr3:uid="{F0CD5BC6-F77A-4935-BFA5-DCA165B61280}" uniqueName="4" name="Department Code" queryTableFieldId="14" dataDxfId="33" totalsRowDxfId="32"/>
    <tableColumn id="14" xr3:uid="{31AD51F6-D7EC-48A6-82C0-87DD88DDA055}" uniqueName="14" name="Department Full Name" queryTableFieldId="15" dataDxfId="31" totalsRowDxfId="30"/>
    <tableColumn id="5" xr3:uid="{F8E423B3-ED96-4265-9251-33762E641782}" uniqueName="5" name="Patient Name" queryTableFieldId="5" dataDxfId="29" totalsRowDxfId="28"/>
    <tableColumn id="6" xr3:uid="{29A56996-DBBD-42BD-9811-F006CFAC46A6}" uniqueName="6" name="Age" queryTableFieldId="6"/>
    <tableColumn id="7" xr3:uid="{6CC62642-30D0-4C2B-8FCF-B4670309C117}" uniqueName="7" name="Gender" queryTableFieldId="7" dataDxfId="27" totalsRowDxfId="26"/>
    <tableColumn id="8" xr3:uid="{6B358451-27EE-497D-8399-D9A16154C3F6}" uniqueName="8" name="Insurance" queryTableFieldId="8" dataDxfId="25" totalsRowDxfId="24"/>
    <tableColumn id="9" xr3:uid="{623DA14C-F819-4B5B-9713-22ECD56C4190}" uniqueName="9" name="Wait Time (min)" queryTableFieldId="9"/>
    <tableColumn id="10" xr3:uid="{BCDB4589-AFFF-4EAB-B122-CFAB332655E1}" uniqueName="10" name="Treatment Time (min)" queryTableFieldId="10"/>
    <tableColumn id="11" xr3:uid="{C7F54B7E-3949-419C-A786-57BE4F40D6CF}" uniqueName="11" name="Satisfaction (1-5)" queryTableFieldId="11"/>
    <tableColumn id="12" xr3:uid="{F1029748-1B00-4C06-A20C-107383175744}" uniqueName="12" name="Readmitted 30d" queryTableFieldId="12" dataDxfId="23" totalsRowDxfId="22"/>
    <tableColumn id="13" xr3:uid="{54E2A1F3-DE3C-4951-A571-8A9C9A337501}" uniqueName="13" name="Charge Amount" queryTableFieldId="13" dataDxfId="21" totalsRowDxfId="20"/>
    <tableColumn id="16" xr3:uid="{83F89DF5-107F-42F9-86D1-A2B2D9A2EBA1}" uniqueName="16" name="Shift Type" queryTableFieldId="18" dataDxfId="19" totalsRowDxfId="18">
      <calculatedColumnFormula>IF(EHR_Export[[#This Row],[Arrival Time]]&lt;=TIME(7,0,0), "Night", IF(EHR_Export[[#This Row],[Arrival Time]]&lt;TIME(15,0,0), "Day", "Evening"))</calculatedColumnFormula>
    </tableColumn>
    <tableColumn id="17" xr3:uid="{B0F6C5DB-1D09-4552-9F67-2877E92CA9D8}" uniqueName="17" name="Staff on Duty" queryTableFieldId="19" dataDxfId="17" totalsRowDxfId="16">
      <calculatedColumnFormula array="1">_xlfn.XLOOKUP(1,(Daily_Staffing_Log[Log Date]=EHR_Export[[#This Row],[Visit Date]])*(Daily_Staffing_Log[Department Code]=EHR_Export[[#This Row],[Department Code]])*(Daily_Staffing_Log[Shift]=EHR_Export[[#This Row],[Shift Type]]),Daily_Staffing_Log[Staff on Duty],"Unknown")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352E-8F14-4BE9-B3C3-4DE4A0708638}">
  <dimension ref="A1:D6"/>
  <sheetViews>
    <sheetView workbookViewId="0">
      <selection activeCell="C4" sqref="C4"/>
    </sheetView>
  </sheetViews>
  <sheetFormatPr defaultRowHeight="15" x14ac:dyDescent="0.25"/>
  <cols>
    <col min="1" max="1" width="19.7109375" bestFit="1" customWidth="1"/>
    <col min="2" max="2" width="24" bestFit="1" customWidth="1"/>
    <col min="3" max="3" width="24" style="3" bestFit="1" customWidth="1"/>
    <col min="4" max="5" width="22.42578125" bestFit="1" customWidth="1"/>
  </cols>
  <sheetData>
    <row r="1" spans="1:4" x14ac:dyDescent="0.25">
      <c r="A1" t="s">
        <v>844</v>
      </c>
      <c r="B1" t="s">
        <v>835</v>
      </c>
      <c r="C1" s="3" t="s">
        <v>836</v>
      </c>
      <c r="D1" t="s">
        <v>837</v>
      </c>
    </row>
    <row r="2" spans="1:4" x14ac:dyDescent="0.25">
      <c r="A2" t="s">
        <v>126</v>
      </c>
      <c r="B2" t="s">
        <v>46</v>
      </c>
      <c r="C2" s="3">
        <v>1800</v>
      </c>
      <c r="D2" t="s">
        <v>839</v>
      </c>
    </row>
    <row r="3" spans="1:4" x14ac:dyDescent="0.25">
      <c r="A3" t="s">
        <v>28</v>
      </c>
      <c r="B3" t="s">
        <v>23</v>
      </c>
      <c r="C3" s="3">
        <v>850</v>
      </c>
      <c r="D3" t="s">
        <v>838</v>
      </c>
    </row>
    <row r="4" spans="1:4" x14ac:dyDescent="0.25">
      <c r="A4" t="s">
        <v>48</v>
      </c>
      <c r="B4" t="s">
        <v>42</v>
      </c>
      <c r="C4" s="3">
        <v>1500</v>
      </c>
      <c r="D4" t="s">
        <v>840</v>
      </c>
    </row>
    <row r="5" spans="1:4" x14ac:dyDescent="0.25">
      <c r="A5" t="s">
        <v>21</v>
      </c>
      <c r="B5" t="s">
        <v>53</v>
      </c>
      <c r="C5" s="3">
        <v>700</v>
      </c>
      <c r="D5" t="s">
        <v>841</v>
      </c>
    </row>
    <row r="6" spans="1:4" x14ac:dyDescent="0.25">
      <c r="A6" t="s">
        <v>58</v>
      </c>
      <c r="B6" t="s">
        <v>842</v>
      </c>
      <c r="C6" s="3">
        <v>3200</v>
      </c>
      <c r="D6" t="s">
        <v>843</v>
      </c>
    </row>
  </sheetData>
  <sheetProtection algorithmName="SHA-512" hashValue="2xukKxM06S/FtLtxhGTjWMn+5w7otln2PO0sljpKFJjZYAWqciL3WTRm0XLOaS3Y5oBSrsEcaIqvgG0/RlpApg==" saltValue="uuptCuO6JzNSLUMOt4KjP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55DE-B5D1-4F0F-89C2-DA9C603D92DD}">
  <dimension ref="A1:E1351"/>
  <sheetViews>
    <sheetView workbookViewId="0">
      <selection activeCell="E16" sqref="E16"/>
    </sheetView>
  </sheetViews>
  <sheetFormatPr defaultRowHeight="15" x14ac:dyDescent="0.25"/>
  <cols>
    <col min="1" max="1" width="11.140625" bestFit="1" customWidth="1"/>
    <col min="2" max="2" width="7.7109375" bestFit="1" customWidth="1"/>
    <col min="3" max="3" width="13.42578125" bestFit="1" customWidth="1"/>
    <col min="4" max="4" width="15" bestFit="1" customWidth="1"/>
    <col min="5" max="5" width="19.7109375" bestFit="1" customWidth="1"/>
    <col min="6" max="6" width="13" bestFit="1" customWidth="1"/>
  </cols>
  <sheetData>
    <row r="1" spans="1:5" x14ac:dyDescent="0.25">
      <c r="A1" t="s">
        <v>825</v>
      </c>
      <c r="B1" t="s">
        <v>826</v>
      </c>
      <c r="C1" t="s">
        <v>827</v>
      </c>
      <c r="D1" t="s">
        <v>828</v>
      </c>
      <c r="E1" t="s">
        <v>844</v>
      </c>
    </row>
    <row r="2" spans="1:5" x14ac:dyDescent="0.25">
      <c r="A2" s="1">
        <v>46023</v>
      </c>
      <c r="B2" t="s">
        <v>829</v>
      </c>
      <c r="C2" t="s">
        <v>830</v>
      </c>
      <c r="D2">
        <v>6</v>
      </c>
      <c r="E2" t="s">
        <v>28</v>
      </c>
    </row>
    <row r="3" spans="1:5" x14ac:dyDescent="0.25">
      <c r="A3" s="1">
        <v>46023</v>
      </c>
      <c r="B3" t="s">
        <v>831</v>
      </c>
      <c r="C3" t="s">
        <v>832</v>
      </c>
      <c r="D3">
        <v>11</v>
      </c>
      <c r="E3" t="s">
        <v>28</v>
      </c>
    </row>
    <row r="4" spans="1:5" x14ac:dyDescent="0.25">
      <c r="A4" s="1">
        <v>46023</v>
      </c>
      <c r="B4" t="s">
        <v>833</v>
      </c>
      <c r="C4" t="s">
        <v>834</v>
      </c>
      <c r="D4">
        <v>4</v>
      </c>
      <c r="E4" t="s">
        <v>28</v>
      </c>
    </row>
    <row r="5" spans="1:5" x14ac:dyDescent="0.25">
      <c r="A5" s="1">
        <v>46023</v>
      </c>
      <c r="B5" t="s">
        <v>829</v>
      </c>
      <c r="C5" t="s">
        <v>830</v>
      </c>
      <c r="D5">
        <v>4</v>
      </c>
      <c r="E5" t="s">
        <v>126</v>
      </c>
    </row>
    <row r="6" spans="1:5" x14ac:dyDescent="0.25">
      <c r="A6" s="1">
        <v>46023</v>
      </c>
      <c r="B6" t="s">
        <v>831</v>
      </c>
      <c r="C6" t="s">
        <v>832</v>
      </c>
      <c r="D6">
        <v>7</v>
      </c>
      <c r="E6" t="s">
        <v>126</v>
      </c>
    </row>
    <row r="7" spans="1:5" x14ac:dyDescent="0.25">
      <c r="A7" s="1">
        <v>46023</v>
      </c>
      <c r="B7" t="s">
        <v>833</v>
      </c>
      <c r="C7" t="s">
        <v>834</v>
      </c>
      <c r="D7">
        <v>1</v>
      </c>
      <c r="E7" t="s">
        <v>126</v>
      </c>
    </row>
    <row r="8" spans="1:5" x14ac:dyDescent="0.25">
      <c r="A8" s="1">
        <v>46023</v>
      </c>
      <c r="B8" t="s">
        <v>829</v>
      </c>
      <c r="C8" t="s">
        <v>830</v>
      </c>
      <c r="D8">
        <v>6</v>
      </c>
      <c r="E8" t="s">
        <v>48</v>
      </c>
    </row>
    <row r="9" spans="1:5" x14ac:dyDescent="0.25">
      <c r="A9" s="1">
        <v>46023</v>
      </c>
      <c r="B9" t="s">
        <v>831</v>
      </c>
      <c r="C9" t="s">
        <v>832</v>
      </c>
      <c r="D9">
        <v>7</v>
      </c>
      <c r="E9" t="s">
        <v>48</v>
      </c>
    </row>
    <row r="10" spans="1:5" x14ac:dyDescent="0.25">
      <c r="A10" s="1">
        <v>46023</v>
      </c>
      <c r="B10" t="s">
        <v>833</v>
      </c>
      <c r="C10" t="s">
        <v>834</v>
      </c>
      <c r="D10">
        <v>1</v>
      </c>
      <c r="E10" t="s">
        <v>48</v>
      </c>
    </row>
    <row r="11" spans="1:5" x14ac:dyDescent="0.25">
      <c r="A11" s="1">
        <v>46023</v>
      </c>
      <c r="B11" t="s">
        <v>829</v>
      </c>
      <c r="C11" t="s">
        <v>830</v>
      </c>
      <c r="D11">
        <v>8</v>
      </c>
      <c r="E11" t="s">
        <v>21</v>
      </c>
    </row>
    <row r="12" spans="1:5" x14ac:dyDescent="0.25">
      <c r="A12" s="1">
        <v>46023</v>
      </c>
      <c r="B12" t="s">
        <v>831</v>
      </c>
      <c r="C12" t="s">
        <v>832</v>
      </c>
      <c r="D12">
        <v>4</v>
      </c>
      <c r="E12" t="s">
        <v>21</v>
      </c>
    </row>
    <row r="13" spans="1:5" x14ac:dyDescent="0.25">
      <c r="A13" s="1">
        <v>46023</v>
      </c>
      <c r="B13" t="s">
        <v>833</v>
      </c>
      <c r="C13" t="s">
        <v>834</v>
      </c>
      <c r="D13">
        <v>1</v>
      </c>
      <c r="E13" t="s">
        <v>21</v>
      </c>
    </row>
    <row r="14" spans="1:5" x14ac:dyDescent="0.25">
      <c r="A14" s="1">
        <v>46023</v>
      </c>
      <c r="B14" t="s">
        <v>829</v>
      </c>
      <c r="C14" t="s">
        <v>830</v>
      </c>
      <c r="D14">
        <v>7</v>
      </c>
      <c r="E14" t="s">
        <v>58</v>
      </c>
    </row>
    <row r="15" spans="1:5" x14ac:dyDescent="0.25">
      <c r="A15" s="1">
        <v>46023</v>
      </c>
      <c r="B15" t="s">
        <v>831</v>
      </c>
      <c r="C15" t="s">
        <v>832</v>
      </c>
      <c r="D15">
        <v>7</v>
      </c>
      <c r="E15" t="s">
        <v>58</v>
      </c>
    </row>
    <row r="16" spans="1:5" x14ac:dyDescent="0.25">
      <c r="A16" s="1">
        <v>46023</v>
      </c>
      <c r="B16" t="s">
        <v>833</v>
      </c>
      <c r="C16" t="s">
        <v>834</v>
      </c>
      <c r="D16">
        <v>4</v>
      </c>
      <c r="E16" t="s">
        <v>58</v>
      </c>
    </row>
    <row r="17" spans="1:5" x14ac:dyDescent="0.25">
      <c r="A17" s="1">
        <v>46024</v>
      </c>
      <c r="B17" t="s">
        <v>829</v>
      </c>
      <c r="C17" t="s">
        <v>830</v>
      </c>
      <c r="D17">
        <v>6</v>
      </c>
      <c r="E17" t="s">
        <v>28</v>
      </c>
    </row>
    <row r="18" spans="1:5" x14ac:dyDescent="0.25">
      <c r="A18" s="1">
        <v>46024</v>
      </c>
      <c r="B18" t="s">
        <v>831</v>
      </c>
      <c r="C18" t="s">
        <v>832</v>
      </c>
      <c r="D18">
        <v>8</v>
      </c>
      <c r="E18" t="s">
        <v>28</v>
      </c>
    </row>
    <row r="19" spans="1:5" x14ac:dyDescent="0.25">
      <c r="A19" s="1">
        <v>46024</v>
      </c>
      <c r="B19" t="s">
        <v>833</v>
      </c>
      <c r="C19" t="s">
        <v>834</v>
      </c>
      <c r="D19">
        <v>8</v>
      </c>
      <c r="E19" t="s">
        <v>28</v>
      </c>
    </row>
    <row r="20" spans="1:5" x14ac:dyDescent="0.25">
      <c r="A20" s="1">
        <v>46024</v>
      </c>
      <c r="B20" t="s">
        <v>829</v>
      </c>
      <c r="C20" t="s">
        <v>830</v>
      </c>
      <c r="D20">
        <v>7</v>
      </c>
      <c r="E20" t="s">
        <v>126</v>
      </c>
    </row>
    <row r="21" spans="1:5" x14ac:dyDescent="0.25">
      <c r="A21" s="1">
        <v>46024</v>
      </c>
      <c r="B21" t="s">
        <v>831</v>
      </c>
      <c r="C21" t="s">
        <v>832</v>
      </c>
      <c r="D21">
        <v>3</v>
      </c>
      <c r="E21" t="s">
        <v>126</v>
      </c>
    </row>
    <row r="22" spans="1:5" x14ac:dyDescent="0.25">
      <c r="A22" s="1">
        <v>46024</v>
      </c>
      <c r="B22" t="s">
        <v>833</v>
      </c>
      <c r="C22" t="s">
        <v>834</v>
      </c>
      <c r="D22">
        <v>5</v>
      </c>
      <c r="E22" t="s">
        <v>126</v>
      </c>
    </row>
    <row r="23" spans="1:5" x14ac:dyDescent="0.25">
      <c r="A23" s="1">
        <v>46024</v>
      </c>
      <c r="B23" t="s">
        <v>829</v>
      </c>
      <c r="C23" t="s">
        <v>830</v>
      </c>
      <c r="D23">
        <v>4</v>
      </c>
      <c r="E23" t="s">
        <v>48</v>
      </c>
    </row>
    <row r="24" spans="1:5" x14ac:dyDescent="0.25">
      <c r="A24" s="1">
        <v>46024</v>
      </c>
      <c r="B24" t="s">
        <v>831</v>
      </c>
      <c r="C24" t="s">
        <v>832</v>
      </c>
      <c r="D24">
        <v>4</v>
      </c>
      <c r="E24" t="s">
        <v>48</v>
      </c>
    </row>
    <row r="25" spans="1:5" x14ac:dyDescent="0.25">
      <c r="A25" s="1">
        <v>46024</v>
      </c>
      <c r="B25" t="s">
        <v>833</v>
      </c>
      <c r="C25" t="s">
        <v>834</v>
      </c>
      <c r="D25">
        <v>5</v>
      </c>
      <c r="E25" t="s">
        <v>48</v>
      </c>
    </row>
    <row r="26" spans="1:5" x14ac:dyDescent="0.25">
      <c r="A26" s="1">
        <v>46024</v>
      </c>
      <c r="B26" t="s">
        <v>829</v>
      </c>
      <c r="C26" t="s">
        <v>830</v>
      </c>
      <c r="D26">
        <v>4</v>
      </c>
      <c r="E26" t="s">
        <v>21</v>
      </c>
    </row>
    <row r="27" spans="1:5" x14ac:dyDescent="0.25">
      <c r="A27" s="1">
        <v>46024</v>
      </c>
      <c r="B27" t="s">
        <v>831</v>
      </c>
      <c r="C27" t="s">
        <v>832</v>
      </c>
      <c r="D27">
        <v>7</v>
      </c>
      <c r="E27" t="s">
        <v>21</v>
      </c>
    </row>
    <row r="28" spans="1:5" x14ac:dyDescent="0.25">
      <c r="A28" s="1">
        <v>46024</v>
      </c>
      <c r="B28" t="s">
        <v>833</v>
      </c>
      <c r="C28" t="s">
        <v>834</v>
      </c>
      <c r="D28">
        <v>5</v>
      </c>
      <c r="E28" t="s">
        <v>21</v>
      </c>
    </row>
    <row r="29" spans="1:5" x14ac:dyDescent="0.25">
      <c r="A29" s="1">
        <v>46024</v>
      </c>
      <c r="B29" t="s">
        <v>829</v>
      </c>
      <c r="C29" t="s">
        <v>830</v>
      </c>
      <c r="D29">
        <v>10</v>
      </c>
      <c r="E29" t="s">
        <v>58</v>
      </c>
    </row>
    <row r="30" spans="1:5" x14ac:dyDescent="0.25">
      <c r="A30" s="1">
        <v>46024</v>
      </c>
      <c r="B30" t="s">
        <v>831</v>
      </c>
      <c r="C30" t="s">
        <v>832</v>
      </c>
      <c r="D30">
        <v>4</v>
      </c>
      <c r="E30" t="s">
        <v>58</v>
      </c>
    </row>
    <row r="31" spans="1:5" x14ac:dyDescent="0.25">
      <c r="A31" s="1">
        <v>46024</v>
      </c>
      <c r="B31" t="s">
        <v>833</v>
      </c>
      <c r="C31" t="s">
        <v>834</v>
      </c>
      <c r="D31">
        <v>2</v>
      </c>
      <c r="E31" t="s">
        <v>58</v>
      </c>
    </row>
    <row r="32" spans="1:5" x14ac:dyDescent="0.25">
      <c r="A32" s="1">
        <v>46025</v>
      </c>
      <c r="B32" t="s">
        <v>829</v>
      </c>
      <c r="C32" t="s">
        <v>830</v>
      </c>
      <c r="D32">
        <v>8</v>
      </c>
      <c r="E32" t="s">
        <v>28</v>
      </c>
    </row>
    <row r="33" spans="1:5" x14ac:dyDescent="0.25">
      <c r="A33" s="1">
        <v>46025</v>
      </c>
      <c r="B33" t="s">
        <v>831</v>
      </c>
      <c r="C33" t="s">
        <v>832</v>
      </c>
      <c r="D33">
        <v>8</v>
      </c>
      <c r="E33" t="s">
        <v>28</v>
      </c>
    </row>
    <row r="34" spans="1:5" x14ac:dyDescent="0.25">
      <c r="A34" s="1">
        <v>46025</v>
      </c>
      <c r="B34" t="s">
        <v>833</v>
      </c>
      <c r="C34" t="s">
        <v>834</v>
      </c>
      <c r="D34">
        <v>5</v>
      </c>
      <c r="E34" t="s">
        <v>28</v>
      </c>
    </row>
    <row r="35" spans="1:5" x14ac:dyDescent="0.25">
      <c r="A35" s="1">
        <v>46025</v>
      </c>
      <c r="B35" t="s">
        <v>829</v>
      </c>
      <c r="C35" t="s">
        <v>830</v>
      </c>
      <c r="D35">
        <v>6</v>
      </c>
      <c r="E35" t="s">
        <v>126</v>
      </c>
    </row>
    <row r="36" spans="1:5" x14ac:dyDescent="0.25">
      <c r="A36" s="1">
        <v>46025</v>
      </c>
      <c r="B36" t="s">
        <v>831</v>
      </c>
      <c r="C36" t="s">
        <v>832</v>
      </c>
      <c r="D36">
        <v>3</v>
      </c>
      <c r="E36" t="s">
        <v>126</v>
      </c>
    </row>
    <row r="37" spans="1:5" x14ac:dyDescent="0.25">
      <c r="A37" s="1">
        <v>46025</v>
      </c>
      <c r="B37" t="s">
        <v>833</v>
      </c>
      <c r="C37" t="s">
        <v>834</v>
      </c>
      <c r="D37">
        <v>4</v>
      </c>
      <c r="E37" t="s">
        <v>126</v>
      </c>
    </row>
    <row r="38" spans="1:5" x14ac:dyDescent="0.25">
      <c r="A38" s="1">
        <v>46025</v>
      </c>
      <c r="B38" t="s">
        <v>829</v>
      </c>
      <c r="C38" t="s">
        <v>830</v>
      </c>
      <c r="D38">
        <v>3</v>
      </c>
      <c r="E38" t="s">
        <v>48</v>
      </c>
    </row>
    <row r="39" spans="1:5" x14ac:dyDescent="0.25">
      <c r="A39" s="1">
        <v>46025</v>
      </c>
      <c r="B39" t="s">
        <v>831</v>
      </c>
      <c r="C39" t="s">
        <v>832</v>
      </c>
      <c r="D39">
        <v>6</v>
      </c>
      <c r="E39" t="s">
        <v>48</v>
      </c>
    </row>
    <row r="40" spans="1:5" x14ac:dyDescent="0.25">
      <c r="A40" s="1">
        <v>46025</v>
      </c>
      <c r="B40" t="s">
        <v>833</v>
      </c>
      <c r="C40" t="s">
        <v>834</v>
      </c>
      <c r="D40">
        <v>2</v>
      </c>
      <c r="E40" t="s">
        <v>48</v>
      </c>
    </row>
    <row r="41" spans="1:5" x14ac:dyDescent="0.25">
      <c r="A41" s="1">
        <v>46025</v>
      </c>
      <c r="B41" t="s">
        <v>829</v>
      </c>
      <c r="C41" t="s">
        <v>830</v>
      </c>
      <c r="D41">
        <v>7</v>
      </c>
      <c r="E41" t="s">
        <v>21</v>
      </c>
    </row>
    <row r="42" spans="1:5" x14ac:dyDescent="0.25">
      <c r="A42" s="1">
        <v>46025</v>
      </c>
      <c r="B42" t="s">
        <v>831</v>
      </c>
      <c r="C42" t="s">
        <v>832</v>
      </c>
      <c r="D42">
        <v>3</v>
      </c>
      <c r="E42" t="s">
        <v>21</v>
      </c>
    </row>
    <row r="43" spans="1:5" x14ac:dyDescent="0.25">
      <c r="A43" s="1">
        <v>46025</v>
      </c>
      <c r="B43" t="s">
        <v>833</v>
      </c>
      <c r="C43" t="s">
        <v>834</v>
      </c>
      <c r="D43">
        <v>1</v>
      </c>
      <c r="E43" t="s">
        <v>21</v>
      </c>
    </row>
    <row r="44" spans="1:5" x14ac:dyDescent="0.25">
      <c r="A44" s="1">
        <v>46025</v>
      </c>
      <c r="B44" t="s">
        <v>829</v>
      </c>
      <c r="C44" t="s">
        <v>830</v>
      </c>
      <c r="D44">
        <v>10</v>
      </c>
      <c r="E44" t="s">
        <v>58</v>
      </c>
    </row>
    <row r="45" spans="1:5" x14ac:dyDescent="0.25">
      <c r="A45" s="1">
        <v>46025</v>
      </c>
      <c r="B45" t="s">
        <v>831</v>
      </c>
      <c r="C45" t="s">
        <v>832</v>
      </c>
      <c r="D45">
        <v>7</v>
      </c>
      <c r="E45" t="s">
        <v>58</v>
      </c>
    </row>
    <row r="46" spans="1:5" x14ac:dyDescent="0.25">
      <c r="A46" s="1">
        <v>46025</v>
      </c>
      <c r="B46" t="s">
        <v>833</v>
      </c>
      <c r="C46" t="s">
        <v>834</v>
      </c>
      <c r="D46">
        <v>1</v>
      </c>
      <c r="E46" t="s">
        <v>58</v>
      </c>
    </row>
    <row r="47" spans="1:5" x14ac:dyDescent="0.25">
      <c r="A47" s="1">
        <v>46026</v>
      </c>
      <c r="B47" t="s">
        <v>829</v>
      </c>
      <c r="C47" t="s">
        <v>830</v>
      </c>
      <c r="D47">
        <v>4</v>
      </c>
      <c r="E47" t="s">
        <v>28</v>
      </c>
    </row>
    <row r="48" spans="1:5" x14ac:dyDescent="0.25">
      <c r="A48" s="1">
        <v>46026</v>
      </c>
      <c r="B48" t="s">
        <v>831</v>
      </c>
      <c r="C48" t="s">
        <v>832</v>
      </c>
      <c r="D48">
        <v>11</v>
      </c>
      <c r="E48" t="s">
        <v>28</v>
      </c>
    </row>
    <row r="49" spans="1:5" x14ac:dyDescent="0.25">
      <c r="A49" s="1">
        <v>46026</v>
      </c>
      <c r="B49" t="s">
        <v>833</v>
      </c>
      <c r="C49" t="s">
        <v>834</v>
      </c>
      <c r="D49">
        <v>3</v>
      </c>
      <c r="E49" t="s">
        <v>28</v>
      </c>
    </row>
    <row r="50" spans="1:5" x14ac:dyDescent="0.25">
      <c r="A50" s="1">
        <v>46026</v>
      </c>
      <c r="B50" t="s">
        <v>829</v>
      </c>
      <c r="C50" t="s">
        <v>830</v>
      </c>
      <c r="D50">
        <v>7</v>
      </c>
      <c r="E50" t="s">
        <v>126</v>
      </c>
    </row>
    <row r="51" spans="1:5" x14ac:dyDescent="0.25">
      <c r="A51" s="1">
        <v>46026</v>
      </c>
      <c r="B51" t="s">
        <v>831</v>
      </c>
      <c r="C51" t="s">
        <v>832</v>
      </c>
      <c r="D51">
        <v>2</v>
      </c>
      <c r="E51" t="s">
        <v>126</v>
      </c>
    </row>
    <row r="52" spans="1:5" x14ac:dyDescent="0.25">
      <c r="A52" s="1">
        <v>46026</v>
      </c>
      <c r="B52" t="s">
        <v>833</v>
      </c>
      <c r="C52" t="s">
        <v>834</v>
      </c>
      <c r="D52">
        <v>4</v>
      </c>
      <c r="E52" t="s">
        <v>126</v>
      </c>
    </row>
    <row r="53" spans="1:5" x14ac:dyDescent="0.25">
      <c r="A53" s="1">
        <v>46026</v>
      </c>
      <c r="B53" t="s">
        <v>829</v>
      </c>
      <c r="C53" t="s">
        <v>830</v>
      </c>
      <c r="D53">
        <v>4</v>
      </c>
      <c r="E53" t="s">
        <v>48</v>
      </c>
    </row>
    <row r="54" spans="1:5" x14ac:dyDescent="0.25">
      <c r="A54" s="1">
        <v>46026</v>
      </c>
      <c r="B54" t="s">
        <v>831</v>
      </c>
      <c r="C54" t="s">
        <v>832</v>
      </c>
      <c r="D54">
        <v>5</v>
      </c>
      <c r="E54" t="s">
        <v>48</v>
      </c>
    </row>
    <row r="55" spans="1:5" x14ac:dyDescent="0.25">
      <c r="A55" s="1">
        <v>46026</v>
      </c>
      <c r="B55" t="s">
        <v>833</v>
      </c>
      <c r="C55" t="s">
        <v>834</v>
      </c>
      <c r="D55">
        <v>4</v>
      </c>
      <c r="E55" t="s">
        <v>48</v>
      </c>
    </row>
    <row r="56" spans="1:5" x14ac:dyDescent="0.25">
      <c r="A56" s="1">
        <v>46026</v>
      </c>
      <c r="B56" t="s">
        <v>829</v>
      </c>
      <c r="C56" t="s">
        <v>830</v>
      </c>
      <c r="D56">
        <v>6</v>
      </c>
      <c r="E56" t="s">
        <v>21</v>
      </c>
    </row>
    <row r="57" spans="1:5" x14ac:dyDescent="0.25">
      <c r="A57" s="1">
        <v>46026</v>
      </c>
      <c r="B57" t="s">
        <v>831</v>
      </c>
      <c r="C57" t="s">
        <v>832</v>
      </c>
      <c r="D57">
        <v>4</v>
      </c>
      <c r="E57" t="s">
        <v>21</v>
      </c>
    </row>
    <row r="58" spans="1:5" x14ac:dyDescent="0.25">
      <c r="A58" s="1">
        <v>46026</v>
      </c>
      <c r="B58" t="s">
        <v>833</v>
      </c>
      <c r="C58" t="s">
        <v>834</v>
      </c>
      <c r="D58">
        <v>3</v>
      </c>
      <c r="E58" t="s">
        <v>21</v>
      </c>
    </row>
    <row r="59" spans="1:5" x14ac:dyDescent="0.25">
      <c r="A59" s="1">
        <v>46026</v>
      </c>
      <c r="B59" t="s">
        <v>829</v>
      </c>
      <c r="C59" t="s">
        <v>830</v>
      </c>
      <c r="D59">
        <v>10</v>
      </c>
      <c r="E59" t="s">
        <v>58</v>
      </c>
    </row>
    <row r="60" spans="1:5" x14ac:dyDescent="0.25">
      <c r="A60" s="1">
        <v>46026</v>
      </c>
      <c r="B60" t="s">
        <v>831</v>
      </c>
      <c r="C60" t="s">
        <v>832</v>
      </c>
      <c r="D60">
        <v>6</v>
      </c>
      <c r="E60" t="s">
        <v>58</v>
      </c>
    </row>
    <row r="61" spans="1:5" x14ac:dyDescent="0.25">
      <c r="A61" s="1">
        <v>46026</v>
      </c>
      <c r="B61" t="s">
        <v>833</v>
      </c>
      <c r="C61" t="s">
        <v>834</v>
      </c>
      <c r="D61">
        <v>2</v>
      </c>
      <c r="E61" t="s">
        <v>58</v>
      </c>
    </row>
    <row r="62" spans="1:5" x14ac:dyDescent="0.25">
      <c r="A62" s="1">
        <v>46027</v>
      </c>
      <c r="B62" t="s">
        <v>829</v>
      </c>
      <c r="C62" t="s">
        <v>830</v>
      </c>
      <c r="D62">
        <v>6</v>
      </c>
      <c r="E62" t="s">
        <v>28</v>
      </c>
    </row>
    <row r="63" spans="1:5" x14ac:dyDescent="0.25">
      <c r="A63" s="1">
        <v>46027</v>
      </c>
      <c r="B63" t="s">
        <v>831</v>
      </c>
      <c r="C63" t="s">
        <v>832</v>
      </c>
      <c r="D63">
        <v>9</v>
      </c>
      <c r="E63" t="s">
        <v>28</v>
      </c>
    </row>
    <row r="64" spans="1:5" x14ac:dyDescent="0.25">
      <c r="A64" s="1">
        <v>46027</v>
      </c>
      <c r="B64" t="s">
        <v>833</v>
      </c>
      <c r="C64" t="s">
        <v>834</v>
      </c>
      <c r="D64">
        <v>5</v>
      </c>
      <c r="E64" t="s">
        <v>28</v>
      </c>
    </row>
    <row r="65" spans="1:5" x14ac:dyDescent="0.25">
      <c r="A65" s="1">
        <v>46027</v>
      </c>
      <c r="B65" t="s">
        <v>829</v>
      </c>
      <c r="C65" t="s">
        <v>830</v>
      </c>
      <c r="D65">
        <v>4</v>
      </c>
      <c r="E65" t="s">
        <v>126</v>
      </c>
    </row>
    <row r="66" spans="1:5" x14ac:dyDescent="0.25">
      <c r="A66" s="1">
        <v>46027</v>
      </c>
      <c r="B66" t="s">
        <v>831</v>
      </c>
      <c r="C66" t="s">
        <v>832</v>
      </c>
      <c r="D66">
        <v>7</v>
      </c>
      <c r="E66" t="s">
        <v>126</v>
      </c>
    </row>
    <row r="67" spans="1:5" x14ac:dyDescent="0.25">
      <c r="A67" s="1">
        <v>46027</v>
      </c>
      <c r="B67" t="s">
        <v>833</v>
      </c>
      <c r="C67" t="s">
        <v>834</v>
      </c>
      <c r="D67">
        <v>3</v>
      </c>
      <c r="E67" t="s">
        <v>126</v>
      </c>
    </row>
    <row r="68" spans="1:5" x14ac:dyDescent="0.25">
      <c r="A68" s="1">
        <v>46027</v>
      </c>
      <c r="B68" t="s">
        <v>829</v>
      </c>
      <c r="C68" t="s">
        <v>830</v>
      </c>
      <c r="D68">
        <v>8</v>
      </c>
      <c r="E68" t="s">
        <v>48</v>
      </c>
    </row>
    <row r="69" spans="1:5" x14ac:dyDescent="0.25">
      <c r="A69" s="1">
        <v>46027</v>
      </c>
      <c r="B69" t="s">
        <v>831</v>
      </c>
      <c r="C69" t="s">
        <v>832</v>
      </c>
      <c r="D69">
        <v>6</v>
      </c>
      <c r="E69" t="s">
        <v>48</v>
      </c>
    </row>
    <row r="70" spans="1:5" x14ac:dyDescent="0.25">
      <c r="A70" s="1">
        <v>46027</v>
      </c>
      <c r="B70" t="s">
        <v>833</v>
      </c>
      <c r="C70" t="s">
        <v>834</v>
      </c>
      <c r="D70">
        <v>3</v>
      </c>
      <c r="E70" t="s">
        <v>48</v>
      </c>
    </row>
    <row r="71" spans="1:5" x14ac:dyDescent="0.25">
      <c r="A71" s="1">
        <v>46027</v>
      </c>
      <c r="B71" t="s">
        <v>829</v>
      </c>
      <c r="C71" t="s">
        <v>830</v>
      </c>
      <c r="D71">
        <v>7</v>
      </c>
      <c r="E71" t="s">
        <v>21</v>
      </c>
    </row>
    <row r="72" spans="1:5" x14ac:dyDescent="0.25">
      <c r="A72" s="1">
        <v>46027</v>
      </c>
      <c r="B72" t="s">
        <v>831</v>
      </c>
      <c r="C72" t="s">
        <v>832</v>
      </c>
      <c r="D72">
        <v>5</v>
      </c>
      <c r="E72" t="s">
        <v>21</v>
      </c>
    </row>
    <row r="73" spans="1:5" x14ac:dyDescent="0.25">
      <c r="A73" s="1">
        <v>46027</v>
      </c>
      <c r="B73" t="s">
        <v>833</v>
      </c>
      <c r="C73" t="s">
        <v>834</v>
      </c>
      <c r="D73">
        <v>5</v>
      </c>
      <c r="E73" t="s">
        <v>21</v>
      </c>
    </row>
    <row r="74" spans="1:5" x14ac:dyDescent="0.25">
      <c r="A74" s="1">
        <v>46027</v>
      </c>
      <c r="B74" t="s">
        <v>829</v>
      </c>
      <c r="C74" t="s">
        <v>830</v>
      </c>
      <c r="D74">
        <v>7</v>
      </c>
      <c r="E74" t="s">
        <v>58</v>
      </c>
    </row>
    <row r="75" spans="1:5" x14ac:dyDescent="0.25">
      <c r="A75" s="1">
        <v>46027</v>
      </c>
      <c r="B75" t="s">
        <v>831</v>
      </c>
      <c r="C75" t="s">
        <v>832</v>
      </c>
      <c r="D75">
        <v>4</v>
      </c>
      <c r="E75" t="s">
        <v>58</v>
      </c>
    </row>
    <row r="76" spans="1:5" x14ac:dyDescent="0.25">
      <c r="A76" s="1">
        <v>46027</v>
      </c>
      <c r="B76" t="s">
        <v>833</v>
      </c>
      <c r="C76" t="s">
        <v>834</v>
      </c>
      <c r="D76">
        <v>5</v>
      </c>
      <c r="E76" t="s">
        <v>58</v>
      </c>
    </row>
    <row r="77" spans="1:5" x14ac:dyDescent="0.25">
      <c r="A77" s="1">
        <v>46028</v>
      </c>
      <c r="B77" t="s">
        <v>829</v>
      </c>
      <c r="C77" t="s">
        <v>830</v>
      </c>
      <c r="D77">
        <v>6</v>
      </c>
      <c r="E77" t="s">
        <v>28</v>
      </c>
    </row>
    <row r="78" spans="1:5" x14ac:dyDescent="0.25">
      <c r="A78" s="1">
        <v>46028</v>
      </c>
      <c r="B78" t="s">
        <v>831</v>
      </c>
      <c r="C78" t="s">
        <v>832</v>
      </c>
      <c r="D78">
        <v>10</v>
      </c>
      <c r="E78" t="s">
        <v>28</v>
      </c>
    </row>
    <row r="79" spans="1:5" x14ac:dyDescent="0.25">
      <c r="A79" s="1">
        <v>46028</v>
      </c>
      <c r="B79" t="s">
        <v>833</v>
      </c>
      <c r="C79" t="s">
        <v>834</v>
      </c>
      <c r="D79">
        <v>5</v>
      </c>
      <c r="E79" t="s">
        <v>28</v>
      </c>
    </row>
    <row r="80" spans="1:5" x14ac:dyDescent="0.25">
      <c r="A80" s="1">
        <v>46028</v>
      </c>
      <c r="B80" t="s">
        <v>829</v>
      </c>
      <c r="C80" t="s">
        <v>830</v>
      </c>
      <c r="D80">
        <v>7</v>
      </c>
      <c r="E80" t="s">
        <v>126</v>
      </c>
    </row>
    <row r="81" spans="1:5" x14ac:dyDescent="0.25">
      <c r="A81" s="1">
        <v>46028</v>
      </c>
      <c r="B81" t="s">
        <v>831</v>
      </c>
      <c r="C81" t="s">
        <v>832</v>
      </c>
      <c r="D81">
        <v>6</v>
      </c>
      <c r="E81" t="s">
        <v>126</v>
      </c>
    </row>
    <row r="82" spans="1:5" x14ac:dyDescent="0.25">
      <c r="A82" s="1">
        <v>46028</v>
      </c>
      <c r="B82" t="s">
        <v>833</v>
      </c>
      <c r="C82" t="s">
        <v>834</v>
      </c>
      <c r="D82">
        <v>1</v>
      </c>
      <c r="E82" t="s">
        <v>126</v>
      </c>
    </row>
    <row r="83" spans="1:5" x14ac:dyDescent="0.25">
      <c r="A83" s="1">
        <v>46028</v>
      </c>
      <c r="B83" t="s">
        <v>829</v>
      </c>
      <c r="C83" t="s">
        <v>830</v>
      </c>
      <c r="D83">
        <v>4</v>
      </c>
      <c r="E83" t="s">
        <v>48</v>
      </c>
    </row>
    <row r="84" spans="1:5" x14ac:dyDescent="0.25">
      <c r="A84" s="1">
        <v>46028</v>
      </c>
      <c r="B84" t="s">
        <v>831</v>
      </c>
      <c r="C84" t="s">
        <v>832</v>
      </c>
      <c r="D84">
        <v>7</v>
      </c>
      <c r="E84" t="s">
        <v>48</v>
      </c>
    </row>
    <row r="85" spans="1:5" x14ac:dyDescent="0.25">
      <c r="A85" s="1">
        <v>46028</v>
      </c>
      <c r="B85" t="s">
        <v>833</v>
      </c>
      <c r="C85" t="s">
        <v>834</v>
      </c>
      <c r="D85">
        <v>5</v>
      </c>
      <c r="E85" t="s">
        <v>48</v>
      </c>
    </row>
    <row r="86" spans="1:5" x14ac:dyDescent="0.25">
      <c r="A86" s="1">
        <v>46028</v>
      </c>
      <c r="B86" t="s">
        <v>829</v>
      </c>
      <c r="C86" t="s">
        <v>830</v>
      </c>
      <c r="D86">
        <v>6</v>
      </c>
      <c r="E86" t="s">
        <v>21</v>
      </c>
    </row>
    <row r="87" spans="1:5" x14ac:dyDescent="0.25">
      <c r="A87" s="1">
        <v>46028</v>
      </c>
      <c r="B87" t="s">
        <v>831</v>
      </c>
      <c r="C87" t="s">
        <v>832</v>
      </c>
      <c r="D87">
        <v>5</v>
      </c>
      <c r="E87" t="s">
        <v>21</v>
      </c>
    </row>
    <row r="88" spans="1:5" x14ac:dyDescent="0.25">
      <c r="A88" s="1">
        <v>46028</v>
      </c>
      <c r="B88" t="s">
        <v>833</v>
      </c>
      <c r="C88" t="s">
        <v>834</v>
      </c>
      <c r="D88">
        <v>3</v>
      </c>
      <c r="E88" t="s">
        <v>21</v>
      </c>
    </row>
    <row r="89" spans="1:5" x14ac:dyDescent="0.25">
      <c r="A89" s="1">
        <v>46028</v>
      </c>
      <c r="B89" t="s">
        <v>829</v>
      </c>
      <c r="C89" t="s">
        <v>830</v>
      </c>
      <c r="D89">
        <v>11</v>
      </c>
      <c r="E89" t="s">
        <v>58</v>
      </c>
    </row>
    <row r="90" spans="1:5" x14ac:dyDescent="0.25">
      <c r="A90" s="1">
        <v>46028</v>
      </c>
      <c r="B90" t="s">
        <v>831</v>
      </c>
      <c r="C90" t="s">
        <v>832</v>
      </c>
      <c r="D90">
        <v>7</v>
      </c>
      <c r="E90" t="s">
        <v>58</v>
      </c>
    </row>
    <row r="91" spans="1:5" x14ac:dyDescent="0.25">
      <c r="A91" s="1">
        <v>46028</v>
      </c>
      <c r="B91" t="s">
        <v>833</v>
      </c>
      <c r="C91" t="s">
        <v>834</v>
      </c>
      <c r="D91">
        <v>5</v>
      </c>
      <c r="E91" t="s">
        <v>58</v>
      </c>
    </row>
    <row r="92" spans="1:5" x14ac:dyDescent="0.25">
      <c r="A92" s="1">
        <v>46029</v>
      </c>
      <c r="B92" t="s">
        <v>829</v>
      </c>
      <c r="C92" t="s">
        <v>830</v>
      </c>
      <c r="D92">
        <v>5</v>
      </c>
      <c r="E92" t="s">
        <v>28</v>
      </c>
    </row>
    <row r="93" spans="1:5" x14ac:dyDescent="0.25">
      <c r="A93" s="1">
        <v>46029</v>
      </c>
      <c r="B93" t="s">
        <v>831</v>
      </c>
      <c r="C93" t="s">
        <v>832</v>
      </c>
      <c r="D93">
        <v>8</v>
      </c>
      <c r="E93" t="s">
        <v>28</v>
      </c>
    </row>
    <row r="94" spans="1:5" x14ac:dyDescent="0.25">
      <c r="A94" s="1">
        <v>46029</v>
      </c>
      <c r="B94" t="s">
        <v>833</v>
      </c>
      <c r="C94" t="s">
        <v>834</v>
      </c>
      <c r="D94">
        <v>6</v>
      </c>
      <c r="E94" t="s">
        <v>28</v>
      </c>
    </row>
    <row r="95" spans="1:5" x14ac:dyDescent="0.25">
      <c r="A95" s="1">
        <v>46029</v>
      </c>
      <c r="B95" t="s">
        <v>829</v>
      </c>
      <c r="C95" t="s">
        <v>830</v>
      </c>
      <c r="D95">
        <v>7</v>
      </c>
      <c r="E95" t="s">
        <v>126</v>
      </c>
    </row>
    <row r="96" spans="1:5" x14ac:dyDescent="0.25">
      <c r="A96" s="1">
        <v>46029</v>
      </c>
      <c r="B96" t="s">
        <v>831</v>
      </c>
      <c r="C96" t="s">
        <v>832</v>
      </c>
      <c r="D96">
        <v>3</v>
      </c>
      <c r="E96" t="s">
        <v>126</v>
      </c>
    </row>
    <row r="97" spans="1:5" x14ac:dyDescent="0.25">
      <c r="A97" s="1">
        <v>46029</v>
      </c>
      <c r="B97" t="s">
        <v>833</v>
      </c>
      <c r="C97" t="s">
        <v>834</v>
      </c>
      <c r="D97">
        <v>1</v>
      </c>
      <c r="E97" t="s">
        <v>126</v>
      </c>
    </row>
    <row r="98" spans="1:5" x14ac:dyDescent="0.25">
      <c r="A98" s="1">
        <v>46029</v>
      </c>
      <c r="B98" t="s">
        <v>829</v>
      </c>
      <c r="C98" t="s">
        <v>830</v>
      </c>
      <c r="D98">
        <v>6</v>
      </c>
      <c r="E98" t="s">
        <v>48</v>
      </c>
    </row>
    <row r="99" spans="1:5" x14ac:dyDescent="0.25">
      <c r="A99" s="1">
        <v>46029</v>
      </c>
      <c r="B99" t="s">
        <v>831</v>
      </c>
      <c r="C99" t="s">
        <v>832</v>
      </c>
      <c r="D99">
        <v>7</v>
      </c>
      <c r="E99" t="s">
        <v>48</v>
      </c>
    </row>
    <row r="100" spans="1:5" x14ac:dyDescent="0.25">
      <c r="A100" s="1">
        <v>46029</v>
      </c>
      <c r="B100" t="s">
        <v>833</v>
      </c>
      <c r="C100" t="s">
        <v>834</v>
      </c>
      <c r="D100">
        <v>4</v>
      </c>
      <c r="E100" t="s">
        <v>48</v>
      </c>
    </row>
    <row r="101" spans="1:5" x14ac:dyDescent="0.25">
      <c r="A101" s="1">
        <v>46029</v>
      </c>
      <c r="B101" t="s">
        <v>829</v>
      </c>
      <c r="C101" t="s">
        <v>830</v>
      </c>
      <c r="D101">
        <v>6</v>
      </c>
      <c r="E101" t="s">
        <v>21</v>
      </c>
    </row>
    <row r="102" spans="1:5" x14ac:dyDescent="0.25">
      <c r="A102" s="1">
        <v>46029</v>
      </c>
      <c r="B102" t="s">
        <v>831</v>
      </c>
      <c r="C102" t="s">
        <v>832</v>
      </c>
      <c r="D102">
        <v>6</v>
      </c>
      <c r="E102" t="s">
        <v>21</v>
      </c>
    </row>
    <row r="103" spans="1:5" x14ac:dyDescent="0.25">
      <c r="A103" s="1">
        <v>46029</v>
      </c>
      <c r="B103" t="s">
        <v>833</v>
      </c>
      <c r="C103" t="s">
        <v>834</v>
      </c>
      <c r="D103">
        <v>3</v>
      </c>
      <c r="E103" t="s">
        <v>21</v>
      </c>
    </row>
    <row r="104" spans="1:5" x14ac:dyDescent="0.25">
      <c r="A104" s="1">
        <v>46029</v>
      </c>
      <c r="B104" t="s">
        <v>829</v>
      </c>
      <c r="C104" t="s">
        <v>830</v>
      </c>
      <c r="D104">
        <v>7</v>
      </c>
      <c r="E104" t="s">
        <v>58</v>
      </c>
    </row>
    <row r="105" spans="1:5" x14ac:dyDescent="0.25">
      <c r="A105" s="1">
        <v>46029</v>
      </c>
      <c r="B105" t="s">
        <v>831</v>
      </c>
      <c r="C105" t="s">
        <v>832</v>
      </c>
      <c r="D105">
        <v>7</v>
      </c>
      <c r="E105" t="s">
        <v>58</v>
      </c>
    </row>
    <row r="106" spans="1:5" x14ac:dyDescent="0.25">
      <c r="A106" s="1">
        <v>46029</v>
      </c>
      <c r="B106" t="s">
        <v>833</v>
      </c>
      <c r="C106" t="s">
        <v>834</v>
      </c>
      <c r="D106">
        <v>3</v>
      </c>
      <c r="E106" t="s">
        <v>58</v>
      </c>
    </row>
    <row r="107" spans="1:5" x14ac:dyDescent="0.25">
      <c r="A107" s="1">
        <v>46030</v>
      </c>
      <c r="B107" t="s">
        <v>829</v>
      </c>
      <c r="C107" t="s">
        <v>830</v>
      </c>
      <c r="D107">
        <v>9</v>
      </c>
      <c r="E107" t="s">
        <v>28</v>
      </c>
    </row>
    <row r="108" spans="1:5" x14ac:dyDescent="0.25">
      <c r="A108" s="1">
        <v>46030</v>
      </c>
      <c r="B108" t="s">
        <v>831</v>
      </c>
      <c r="C108" t="s">
        <v>832</v>
      </c>
      <c r="D108">
        <v>8</v>
      </c>
      <c r="E108" t="s">
        <v>28</v>
      </c>
    </row>
    <row r="109" spans="1:5" x14ac:dyDescent="0.25">
      <c r="A109" s="1">
        <v>46030</v>
      </c>
      <c r="B109" t="s">
        <v>833</v>
      </c>
      <c r="C109" t="s">
        <v>834</v>
      </c>
      <c r="D109">
        <v>7</v>
      </c>
      <c r="E109" t="s">
        <v>28</v>
      </c>
    </row>
    <row r="110" spans="1:5" x14ac:dyDescent="0.25">
      <c r="A110" s="1">
        <v>46030</v>
      </c>
      <c r="B110" t="s">
        <v>829</v>
      </c>
      <c r="C110" t="s">
        <v>830</v>
      </c>
      <c r="D110">
        <v>4</v>
      </c>
      <c r="E110" t="s">
        <v>126</v>
      </c>
    </row>
    <row r="111" spans="1:5" x14ac:dyDescent="0.25">
      <c r="A111" s="1">
        <v>46030</v>
      </c>
      <c r="B111" t="s">
        <v>831</v>
      </c>
      <c r="C111" t="s">
        <v>832</v>
      </c>
      <c r="D111">
        <v>4</v>
      </c>
      <c r="E111" t="s">
        <v>126</v>
      </c>
    </row>
    <row r="112" spans="1:5" x14ac:dyDescent="0.25">
      <c r="A112" s="1">
        <v>46030</v>
      </c>
      <c r="B112" t="s">
        <v>833</v>
      </c>
      <c r="C112" t="s">
        <v>834</v>
      </c>
      <c r="D112">
        <v>3</v>
      </c>
      <c r="E112" t="s">
        <v>126</v>
      </c>
    </row>
    <row r="113" spans="1:5" x14ac:dyDescent="0.25">
      <c r="A113" s="1">
        <v>46030</v>
      </c>
      <c r="B113" t="s">
        <v>829</v>
      </c>
      <c r="C113" t="s">
        <v>830</v>
      </c>
      <c r="D113">
        <v>5</v>
      </c>
      <c r="E113" t="s">
        <v>48</v>
      </c>
    </row>
    <row r="114" spans="1:5" x14ac:dyDescent="0.25">
      <c r="A114" s="1">
        <v>46030</v>
      </c>
      <c r="B114" t="s">
        <v>831</v>
      </c>
      <c r="C114" t="s">
        <v>832</v>
      </c>
      <c r="D114">
        <v>4</v>
      </c>
      <c r="E114" t="s">
        <v>48</v>
      </c>
    </row>
    <row r="115" spans="1:5" x14ac:dyDescent="0.25">
      <c r="A115" s="1">
        <v>46030</v>
      </c>
      <c r="B115" t="s">
        <v>833</v>
      </c>
      <c r="C115" t="s">
        <v>834</v>
      </c>
      <c r="D115">
        <v>4</v>
      </c>
      <c r="E115" t="s">
        <v>48</v>
      </c>
    </row>
    <row r="116" spans="1:5" x14ac:dyDescent="0.25">
      <c r="A116" s="1">
        <v>46030</v>
      </c>
      <c r="B116" t="s">
        <v>829</v>
      </c>
      <c r="C116" t="s">
        <v>830</v>
      </c>
      <c r="D116">
        <v>7</v>
      </c>
      <c r="E116" t="s">
        <v>21</v>
      </c>
    </row>
    <row r="117" spans="1:5" x14ac:dyDescent="0.25">
      <c r="A117" s="1">
        <v>46030</v>
      </c>
      <c r="B117" t="s">
        <v>831</v>
      </c>
      <c r="C117" t="s">
        <v>832</v>
      </c>
      <c r="D117">
        <v>6</v>
      </c>
      <c r="E117" t="s">
        <v>21</v>
      </c>
    </row>
    <row r="118" spans="1:5" x14ac:dyDescent="0.25">
      <c r="A118" s="1">
        <v>46030</v>
      </c>
      <c r="B118" t="s">
        <v>833</v>
      </c>
      <c r="C118" t="s">
        <v>834</v>
      </c>
      <c r="D118">
        <v>1</v>
      </c>
      <c r="E118" t="s">
        <v>21</v>
      </c>
    </row>
    <row r="119" spans="1:5" x14ac:dyDescent="0.25">
      <c r="A119" s="1">
        <v>46030</v>
      </c>
      <c r="B119" t="s">
        <v>829</v>
      </c>
      <c r="C119" t="s">
        <v>830</v>
      </c>
      <c r="D119">
        <v>8</v>
      </c>
      <c r="E119" t="s">
        <v>58</v>
      </c>
    </row>
    <row r="120" spans="1:5" x14ac:dyDescent="0.25">
      <c r="A120" s="1">
        <v>46030</v>
      </c>
      <c r="B120" t="s">
        <v>831</v>
      </c>
      <c r="C120" t="s">
        <v>832</v>
      </c>
      <c r="D120">
        <v>7</v>
      </c>
      <c r="E120" t="s">
        <v>58</v>
      </c>
    </row>
    <row r="121" spans="1:5" x14ac:dyDescent="0.25">
      <c r="A121" s="1">
        <v>46030</v>
      </c>
      <c r="B121" t="s">
        <v>833</v>
      </c>
      <c r="C121" t="s">
        <v>834</v>
      </c>
      <c r="D121">
        <v>4</v>
      </c>
      <c r="E121" t="s">
        <v>58</v>
      </c>
    </row>
    <row r="122" spans="1:5" x14ac:dyDescent="0.25">
      <c r="A122" s="1">
        <v>46031</v>
      </c>
      <c r="B122" t="s">
        <v>829</v>
      </c>
      <c r="C122" t="s">
        <v>830</v>
      </c>
      <c r="D122">
        <v>6</v>
      </c>
      <c r="E122" t="s">
        <v>28</v>
      </c>
    </row>
    <row r="123" spans="1:5" x14ac:dyDescent="0.25">
      <c r="A123" s="1">
        <v>46031</v>
      </c>
      <c r="B123" t="s">
        <v>831</v>
      </c>
      <c r="C123" t="s">
        <v>832</v>
      </c>
      <c r="D123">
        <v>11</v>
      </c>
      <c r="E123" t="s">
        <v>28</v>
      </c>
    </row>
    <row r="124" spans="1:5" x14ac:dyDescent="0.25">
      <c r="A124" s="1">
        <v>46031</v>
      </c>
      <c r="B124" t="s">
        <v>833</v>
      </c>
      <c r="C124" t="s">
        <v>834</v>
      </c>
      <c r="D124">
        <v>8</v>
      </c>
      <c r="E124" t="s">
        <v>28</v>
      </c>
    </row>
    <row r="125" spans="1:5" x14ac:dyDescent="0.25">
      <c r="A125" s="1">
        <v>46031</v>
      </c>
      <c r="B125" t="s">
        <v>829</v>
      </c>
      <c r="C125" t="s">
        <v>830</v>
      </c>
      <c r="D125">
        <v>6</v>
      </c>
      <c r="E125" t="s">
        <v>126</v>
      </c>
    </row>
    <row r="126" spans="1:5" x14ac:dyDescent="0.25">
      <c r="A126" s="1">
        <v>46031</v>
      </c>
      <c r="B126" t="s">
        <v>831</v>
      </c>
      <c r="C126" t="s">
        <v>832</v>
      </c>
      <c r="D126">
        <v>6</v>
      </c>
      <c r="E126" t="s">
        <v>126</v>
      </c>
    </row>
    <row r="127" spans="1:5" x14ac:dyDescent="0.25">
      <c r="A127" s="1">
        <v>46031</v>
      </c>
      <c r="B127" t="s">
        <v>833</v>
      </c>
      <c r="C127" t="s">
        <v>834</v>
      </c>
      <c r="D127">
        <v>3</v>
      </c>
      <c r="E127" t="s">
        <v>126</v>
      </c>
    </row>
    <row r="128" spans="1:5" x14ac:dyDescent="0.25">
      <c r="A128" s="1">
        <v>46031</v>
      </c>
      <c r="B128" t="s">
        <v>829</v>
      </c>
      <c r="C128" t="s">
        <v>830</v>
      </c>
      <c r="D128">
        <v>7</v>
      </c>
      <c r="E128" t="s">
        <v>48</v>
      </c>
    </row>
    <row r="129" spans="1:5" x14ac:dyDescent="0.25">
      <c r="A129" s="1">
        <v>46031</v>
      </c>
      <c r="B129" t="s">
        <v>831</v>
      </c>
      <c r="C129" t="s">
        <v>832</v>
      </c>
      <c r="D129">
        <v>4</v>
      </c>
      <c r="E129" t="s">
        <v>48</v>
      </c>
    </row>
    <row r="130" spans="1:5" x14ac:dyDescent="0.25">
      <c r="A130" s="1">
        <v>46031</v>
      </c>
      <c r="B130" t="s">
        <v>833</v>
      </c>
      <c r="C130" t="s">
        <v>834</v>
      </c>
      <c r="D130">
        <v>2</v>
      </c>
      <c r="E130" t="s">
        <v>48</v>
      </c>
    </row>
    <row r="131" spans="1:5" x14ac:dyDescent="0.25">
      <c r="A131" s="1">
        <v>46031</v>
      </c>
      <c r="B131" t="s">
        <v>829</v>
      </c>
      <c r="C131" t="s">
        <v>830</v>
      </c>
      <c r="D131">
        <v>4</v>
      </c>
      <c r="E131" t="s">
        <v>21</v>
      </c>
    </row>
    <row r="132" spans="1:5" x14ac:dyDescent="0.25">
      <c r="A132" s="1">
        <v>46031</v>
      </c>
      <c r="B132" t="s">
        <v>831</v>
      </c>
      <c r="C132" t="s">
        <v>832</v>
      </c>
      <c r="D132">
        <v>4</v>
      </c>
      <c r="E132" t="s">
        <v>21</v>
      </c>
    </row>
    <row r="133" spans="1:5" x14ac:dyDescent="0.25">
      <c r="A133" s="1">
        <v>46031</v>
      </c>
      <c r="B133" t="s">
        <v>833</v>
      </c>
      <c r="C133" t="s">
        <v>834</v>
      </c>
      <c r="D133">
        <v>2</v>
      </c>
      <c r="E133" t="s">
        <v>21</v>
      </c>
    </row>
    <row r="134" spans="1:5" x14ac:dyDescent="0.25">
      <c r="A134" s="1">
        <v>46031</v>
      </c>
      <c r="B134" t="s">
        <v>829</v>
      </c>
      <c r="C134" t="s">
        <v>830</v>
      </c>
      <c r="D134">
        <v>8</v>
      </c>
      <c r="E134" t="s">
        <v>58</v>
      </c>
    </row>
    <row r="135" spans="1:5" x14ac:dyDescent="0.25">
      <c r="A135" s="1">
        <v>46031</v>
      </c>
      <c r="B135" t="s">
        <v>831</v>
      </c>
      <c r="C135" t="s">
        <v>832</v>
      </c>
      <c r="D135">
        <v>5</v>
      </c>
      <c r="E135" t="s">
        <v>58</v>
      </c>
    </row>
    <row r="136" spans="1:5" x14ac:dyDescent="0.25">
      <c r="A136" s="1">
        <v>46031</v>
      </c>
      <c r="B136" t="s">
        <v>833</v>
      </c>
      <c r="C136" t="s">
        <v>834</v>
      </c>
      <c r="D136">
        <v>1</v>
      </c>
      <c r="E136" t="s">
        <v>58</v>
      </c>
    </row>
    <row r="137" spans="1:5" x14ac:dyDescent="0.25">
      <c r="A137" s="1">
        <v>46032</v>
      </c>
      <c r="B137" t="s">
        <v>829</v>
      </c>
      <c r="C137" t="s">
        <v>830</v>
      </c>
      <c r="D137">
        <v>8</v>
      </c>
      <c r="E137" t="s">
        <v>28</v>
      </c>
    </row>
    <row r="138" spans="1:5" x14ac:dyDescent="0.25">
      <c r="A138" s="1">
        <v>46032</v>
      </c>
      <c r="B138" t="s">
        <v>831</v>
      </c>
      <c r="C138" t="s">
        <v>832</v>
      </c>
      <c r="D138">
        <v>8</v>
      </c>
      <c r="E138" t="s">
        <v>28</v>
      </c>
    </row>
    <row r="139" spans="1:5" x14ac:dyDescent="0.25">
      <c r="A139" s="1">
        <v>46032</v>
      </c>
      <c r="B139" t="s">
        <v>833</v>
      </c>
      <c r="C139" t="s">
        <v>834</v>
      </c>
      <c r="D139">
        <v>5</v>
      </c>
      <c r="E139" t="s">
        <v>28</v>
      </c>
    </row>
    <row r="140" spans="1:5" x14ac:dyDescent="0.25">
      <c r="A140" s="1">
        <v>46032</v>
      </c>
      <c r="B140" t="s">
        <v>829</v>
      </c>
      <c r="C140" t="s">
        <v>830</v>
      </c>
      <c r="D140">
        <v>5</v>
      </c>
      <c r="E140" t="s">
        <v>126</v>
      </c>
    </row>
    <row r="141" spans="1:5" x14ac:dyDescent="0.25">
      <c r="A141" s="1">
        <v>46032</v>
      </c>
      <c r="B141" t="s">
        <v>831</v>
      </c>
      <c r="C141" t="s">
        <v>832</v>
      </c>
      <c r="D141">
        <v>2</v>
      </c>
      <c r="E141" t="s">
        <v>126</v>
      </c>
    </row>
    <row r="142" spans="1:5" x14ac:dyDescent="0.25">
      <c r="A142" s="1">
        <v>46032</v>
      </c>
      <c r="B142" t="s">
        <v>833</v>
      </c>
      <c r="C142" t="s">
        <v>834</v>
      </c>
      <c r="D142">
        <v>1</v>
      </c>
      <c r="E142" t="s">
        <v>126</v>
      </c>
    </row>
    <row r="143" spans="1:5" x14ac:dyDescent="0.25">
      <c r="A143" s="1">
        <v>46032</v>
      </c>
      <c r="B143" t="s">
        <v>829</v>
      </c>
      <c r="C143" t="s">
        <v>830</v>
      </c>
      <c r="D143">
        <v>6</v>
      </c>
      <c r="E143" t="s">
        <v>48</v>
      </c>
    </row>
    <row r="144" spans="1:5" x14ac:dyDescent="0.25">
      <c r="A144" s="1">
        <v>46032</v>
      </c>
      <c r="B144" t="s">
        <v>831</v>
      </c>
      <c r="C144" t="s">
        <v>832</v>
      </c>
      <c r="D144">
        <v>6</v>
      </c>
      <c r="E144" t="s">
        <v>48</v>
      </c>
    </row>
    <row r="145" spans="1:5" x14ac:dyDescent="0.25">
      <c r="A145" s="1">
        <v>46032</v>
      </c>
      <c r="B145" t="s">
        <v>833</v>
      </c>
      <c r="C145" t="s">
        <v>834</v>
      </c>
      <c r="D145">
        <v>2</v>
      </c>
      <c r="E145" t="s">
        <v>48</v>
      </c>
    </row>
    <row r="146" spans="1:5" x14ac:dyDescent="0.25">
      <c r="A146" s="1">
        <v>46032</v>
      </c>
      <c r="B146" t="s">
        <v>829</v>
      </c>
      <c r="C146" t="s">
        <v>830</v>
      </c>
      <c r="D146">
        <v>7</v>
      </c>
      <c r="E146" t="s">
        <v>21</v>
      </c>
    </row>
    <row r="147" spans="1:5" x14ac:dyDescent="0.25">
      <c r="A147" s="1">
        <v>46032</v>
      </c>
      <c r="B147" t="s">
        <v>831</v>
      </c>
      <c r="C147" t="s">
        <v>832</v>
      </c>
      <c r="D147">
        <v>6</v>
      </c>
      <c r="E147" t="s">
        <v>21</v>
      </c>
    </row>
    <row r="148" spans="1:5" x14ac:dyDescent="0.25">
      <c r="A148" s="1">
        <v>46032</v>
      </c>
      <c r="B148" t="s">
        <v>833</v>
      </c>
      <c r="C148" t="s">
        <v>834</v>
      </c>
      <c r="D148">
        <v>2</v>
      </c>
      <c r="E148" t="s">
        <v>21</v>
      </c>
    </row>
    <row r="149" spans="1:5" x14ac:dyDescent="0.25">
      <c r="A149" s="1">
        <v>46032</v>
      </c>
      <c r="B149" t="s">
        <v>829</v>
      </c>
      <c r="C149" t="s">
        <v>830</v>
      </c>
      <c r="D149">
        <v>7</v>
      </c>
      <c r="E149" t="s">
        <v>58</v>
      </c>
    </row>
    <row r="150" spans="1:5" x14ac:dyDescent="0.25">
      <c r="A150" s="1">
        <v>46032</v>
      </c>
      <c r="B150" t="s">
        <v>831</v>
      </c>
      <c r="C150" t="s">
        <v>832</v>
      </c>
      <c r="D150">
        <v>7</v>
      </c>
      <c r="E150" t="s">
        <v>58</v>
      </c>
    </row>
    <row r="151" spans="1:5" x14ac:dyDescent="0.25">
      <c r="A151" s="1">
        <v>46032</v>
      </c>
      <c r="B151" t="s">
        <v>833</v>
      </c>
      <c r="C151" t="s">
        <v>834</v>
      </c>
      <c r="D151">
        <v>4</v>
      </c>
      <c r="E151" t="s">
        <v>58</v>
      </c>
    </row>
    <row r="152" spans="1:5" x14ac:dyDescent="0.25">
      <c r="A152" s="1">
        <v>46033</v>
      </c>
      <c r="B152" t="s">
        <v>829</v>
      </c>
      <c r="C152" t="s">
        <v>830</v>
      </c>
      <c r="D152">
        <v>7</v>
      </c>
      <c r="E152" t="s">
        <v>28</v>
      </c>
    </row>
    <row r="153" spans="1:5" x14ac:dyDescent="0.25">
      <c r="A153" s="1">
        <v>46033</v>
      </c>
      <c r="B153" t="s">
        <v>831</v>
      </c>
      <c r="C153" t="s">
        <v>832</v>
      </c>
      <c r="D153">
        <v>11</v>
      </c>
      <c r="E153" t="s">
        <v>28</v>
      </c>
    </row>
    <row r="154" spans="1:5" x14ac:dyDescent="0.25">
      <c r="A154" s="1">
        <v>46033</v>
      </c>
      <c r="B154" t="s">
        <v>833</v>
      </c>
      <c r="C154" t="s">
        <v>834</v>
      </c>
      <c r="D154">
        <v>6</v>
      </c>
      <c r="E154" t="s">
        <v>28</v>
      </c>
    </row>
    <row r="155" spans="1:5" x14ac:dyDescent="0.25">
      <c r="A155" s="1">
        <v>46033</v>
      </c>
      <c r="B155" t="s">
        <v>829</v>
      </c>
      <c r="C155" t="s">
        <v>830</v>
      </c>
      <c r="D155">
        <v>6</v>
      </c>
      <c r="E155" t="s">
        <v>126</v>
      </c>
    </row>
    <row r="156" spans="1:5" x14ac:dyDescent="0.25">
      <c r="A156" s="1">
        <v>46033</v>
      </c>
      <c r="B156" t="s">
        <v>831</v>
      </c>
      <c r="C156" t="s">
        <v>832</v>
      </c>
      <c r="D156">
        <v>5</v>
      </c>
      <c r="E156" t="s">
        <v>126</v>
      </c>
    </row>
    <row r="157" spans="1:5" x14ac:dyDescent="0.25">
      <c r="A157" s="1">
        <v>46033</v>
      </c>
      <c r="B157" t="s">
        <v>833</v>
      </c>
      <c r="C157" t="s">
        <v>834</v>
      </c>
      <c r="D157">
        <v>3</v>
      </c>
      <c r="E157" t="s">
        <v>126</v>
      </c>
    </row>
    <row r="158" spans="1:5" x14ac:dyDescent="0.25">
      <c r="A158" s="1">
        <v>46033</v>
      </c>
      <c r="B158" t="s">
        <v>829</v>
      </c>
      <c r="C158" t="s">
        <v>830</v>
      </c>
      <c r="D158">
        <v>3</v>
      </c>
      <c r="E158" t="s">
        <v>48</v>
      </c>
    </row>
    <row r="159" spans="1:5" x14ac:dyDescent="0.25">
      <c r="A159" s="1">
        <v>46033</v>
      </c>
      <c r="B159" t="s">
        <v>831</v>
      </c>
      <c r="C159" t="s">
        <v>832</v>
      </c>
      <c r="D159">
        <v>5</v>
      </c>
      <c r="E159" t="s">
        <v>48</v>
      </c>
    </row>
    <row r="160" spans="1:5" x14ac:dyDescent="0.25">
      <c r="A160" s="1">
        <v>46033</v>
      </c>
      <c r="B160" t="s">
        <v>833</v>
      </c>
      <c r="C160" t="s">
        <v>834</v>
      </c>
      <c r="D160">
        <v>3</v>
      </c>
      <c r="E160" t="s">
        <v>48</v>
      </c>
    </row>
    <row r="161" spans="1:5" x14ac:dyDescent="0.25">
      <c r="A161" s="1">
        <v>46033</v>
      </c>
      <c r="B161" t="s">
        <v>829</v>
      </c>
      <c r="C161" t="s">
        <v>830</v>
      </c>
      <c r="D161">
        <v>3</v>
      </c>
      <c r="E161" t="s">
        <v>21</v>
      </c>
    </row>
    <row r="162" spans="1:5" x14ac:dyDescent="0.25">
      <c r="A162" s="1">
        <v>46033</v>
      </c>
      <c r="B162" t="s">
        <v>831</v>
      </c>
      <c r="C162" t="s">
        <v>832</v>
      </c>
      <c r="D162">
        <v>3</v>
      </c>
      <c r="E162" t="s">
        <v>21</v>
      </c>
    </row>
    <row r="163" spans="1:5" x14ac:dyDescent="0.25">
      <c r="A163" s="1">
        <v>46033</v>
      </c>
      <c r="B163" t="s">
        <v>833</v>
      </c>
      <c r="C163" t="s">
        <v>834</v>
      </c>
      <c r="D163">
        <v>1</v>
      </c>
      <c r="E163" t="s">
        <v>21</v>
      </c>
    </row>
    <row r="164" spans="1:5" x14ac:dyDescent="0.25">
      <c r="A164" s="1">
        <v>46033</v>
      </c>
      <c r="B164" t="s">
        <v>829</v>
      </c>
      <c r="C164" t="s">
        <v>830</v>
      </c>
      <c r="D164">
        <v>7</v>
      </c>
      <c r="E164" t="s">
        <v>58</v>
      </c>
    </row>
    <row r="165" spans="1:5" x14ac:dyDescent="0.25">
      <c r="A165" s="1">
        <v>46033</v>
      </c>
      <c r="B165" t="s">
        <v>831</v>
      </c>
      <c r="C165" t="s">
        <v>832</v>
      </c>
      <c r="D165">
        <v>6</v>
      </c>
      <c r="E165" t="s">
        <v>58</v>
      </c>
    </row>
    <row r="166" spans="1:5" x14ac:dyDescent="0.25">
      <c r="A166" s="1">
        <v>46033</v>
      </c>
      <c r="B166" t="s">
        <v>833</v>
      </c>
      <c r="C166" t="s">
        <v>834</v>
      </c>
      <c r="D166">
        <v>1</v>
      </c>
      <c r="E166" t="s">
        <v>58</v>
      </c>
    </row>
    <row r="167" spans="1:5" x14ac:dyDescent="0.25">
      <c r="A167" s="1">
        <v>46034</v>
      </c>
      <c r="B167" t="s">
        <v>829</v>
      </c>
      <c r="C167" t="s">
        <v>830</v>
      </c>
      <c r="D167">
        <v>7</v>
      </c>
      <c r="E167" t="s">
        <v>28</v>
      </c>
    </row>
    <row r="168" spans="1:5" x14ac:dyDescent="0.25">
      <c r="A168" s="1">
        <v>46034</v>
      </c>
      <c r="B168" t="s">
        <v>831</v>
      </c>
      <c r="C168" t="s">
        <v>832</v>
      </c>
      <c r="D168">
        <v>12</v>
      </c>
      <c r="E168" t="s">
        <v>28</v>
      </c>
    </row>
    <row r="169" spans="1:5" x14ac:dyDescent="0.25">
      <c r="A169" s="1">
        <v>46034</v>
      </c>
      <c r="B169" t="s">
        <v>833</v>
      </c>
      <c r="C169" t="s">
        <v>834</v>
      </c>
      <c r="D169">
        <v>4</v>
      </c>
      <c r="E169" t="s">
        <v>28</v>
      </c>
    </row>
    <row r="170" spans="1:5" x14ac:dyDescent="0.25">
      <c r="A170" s="1">
        <v>46034</v>
      </c>
      <c r="B170" t="s">
        <v>829</v>
      </c>
      <c r="C170" t="s">
        <v>830</v>
      </c>
      <c r="D170">
        <v>4</v>
      </c>
      <c r="E170" t="s">
        <v>126</v>
      </c>
    </row>
    <row r="171" spans="1:5" x14ac:dyDescent="0.25">
      <c r="A171" s="1">
        <v>46034</v>
      </c>
      <c r="B171" t="s">
        <v>831</v>
      </c>
      <c r="C171" t="s">
        <v>832</v>
      </c>
      <c r="D171">
        <v>3</v>
      </c>
      <c r="E171" t="s">
        <v>126</v>
      </c>
    </row>
    <row r="172" spans="1:5" x14ac:dyDescent="0.25">
      <c r="A172" s="1">
        <v>46034</v>
      </c>
      <c r="B172" t="s">
        <v>833</v>
      </c>
      <c r="C172" t="s">
        <v>834</v>
      </c>
      <c r="D172">
        <v>5</v>
      </c>
      <c r="E172" t="s">
        <v>126</v>
      </c>
    </row>
    <row r="173" spans="1:5" x14ac:dyDescent="0.25">
      <c r="A173" s="1">
        <v>46034</v>
      </c>
      <c r="B173" t="s">
        <v>829</v>
      </c>
      <c r="C173" t="s">
        <v>830</v>
      </c>
      <c r="D173">
        <v>5</v>
      </c>
      <c r="E173" t="s">
        <v>48</v>
      </c>
    </row>
    <row r="174" spans="1:5" x14ac:dyDescent="0.25">
      <c r="A174" s="1">
        <v>46034</v>
      </c>
      <c r="B174" t="s">
        <v>831</v>
      </c>
      <c r="C174" t="s">
        <v>832</v>
      </c>
      <c r="D174">
        <v>7</v>
      </c>
      <c r="E174" t="s">
        <v>48</v>
      </c>
    </row>
    <row r="175" spans="1:5" x14ac:dyDescent="0.25">
      <c r="A175" s="1">
        <v>46034</v>
      </c>
      <c r="B175" t="s">
        <v>833</v>
      </c>
      <c r="C175" t="s">
        <v>834</v>
      </c>
      <c r="D175">
        <v>1</v>
      </c>
      <c r="E175" t="s">
        <v>48</v>
      </c>
    </row>
    <row r="176" spans="1:5" x14ac:dyDescent="0.25">
      <c r="A176" s="1">
        <v>46034</v>
      </c>
      <c r="B176" t="s">
        <v>829</v>
      </c>
      <c r="C176" t="s">
        <v>830</v>
      </c>
      <c r="D176">
        <v>6</v>
      </c>
      <c r="E176" t="s">
        <v>21</v>
      </c>
    </row>
    <row r="177" spans="1:5" x14ac:dyDescent="0.25">
      <c r="A177" s="1">
        <v>46034</v>
      </c>
      <c r="B177" t="s">
        <v>831</v>
      </c>
      <c r="C177" t="s">
        <v>832</v>
      </c>
      <c r="D177">
        <v>7</v>
      </c>
      <c r="E177" t="s">
        <v>21</v>
      </c>
    </row>
    <row r="178" spans="1:5" x14ac:dyDescent="0.25">
      <c r="A178" s="1">
        <v>46034</v>
      </c>
      <c r="B178" t="s">
        <v>833</v>
      </c>
      <c r="C178" t="s">
        <v>834</v>
      </c>
      <c r="D178">
        <v>1</v>
      </c>
      <c r="E178" t="s">
        <v>21</v>
      </c>
    </row>
    <row r="179" spans="1:5" x14ac:dyDescent="0.25">
      <c r="A179" s="1">
        <v>46034</v>
      </c>
      <c r="B179" t="s">
        <v>829</v>
      </c>
      <c r="C179" t="s">
        <v>830</v>
      </c>
      <c r="D179">
        <v>7</v>
      </c>
      <c r="E179" t="s">
        <v>58</v>
      </c>
    </row>
    <row r="180" spans="1:5" x14ac:dyDescent="0.25">
      <c r="A180" s="1">
        <v>46034</v>
      </c>
      <c r="B180" t="s">
        <v>831</v>
      </c>
      <c r="C180" t="s">
        <v>832</v>
      </c>
      <c r="D180">
        <v>5</v>
      </c>
      <c r="E180" t="s">
        <v>58</v>
      </c>
    </row>
    <row r="181" spans="1:5" x14ac:dyDescent="0.25">
      <c r="A181" s="1">
        <v>46034</v>
      </c>
      <c r="B181" t="s">
        <v>833</v>
      </c>
      <c r="C181" t="s">
        <v>834</v>
      </c>
      <c r="D181">
        <v>5</v>
      </c>
      <c r="E181" t="s">
        <v>58</v>
      </c>
    </row>
    <row r="182" spans="1:5" x14ac:dyDescent="0.25">
      <c r="A182" s="1">
        <v>46035</v>
      </c>
      <c r="B182" t="s">
        <v>829</v>
      </c>
      <c r="C182" t="s">
        <v>830</v>
      </c>
      <c r="D182">
        <v>6</v>
      </c>
      <c r="E182" t="s">
        <v>28</v>
      </c>
    </row>
    <row r="183" spans="1:5" x14ac:dyDescent="0.25">
      <c r="A183" s="1">
        <v>46035</v>
      </c>
      <c r="B183" t="s">
        <v>831</v>
      </c>
      <c r="C183" t="s">
        <v>832</v>
      </c>
      <c r="D183">
        <v>10</v>
      </c>
      <c r="E183" t="s">
        <v>28</v>
      </c>
    </row>
    <row r="184" spans="1:5" x14ac:dyDescent="0.25">
      <c r="A184" s="1">
        <v>46035</v>
      </c>
      <c r="B184" t="s">
        <v>833</v>
      </c>
      <c r="C184" t="s">
        <v>834</v>
      </c>
      <c r="D184">
        <v>6</v>
      </c>
      <c r="E184" t="s">
        <v>28</v>
      </c>
    </row>
    <row r="185" spans="1:5" x14ac:dyDescent="0.25">
      <c r="A185" s="1">
        <v>46035</v>
      </c>
      <c r="B185" t="s">
        <v>829</v>
      </c>
      <c r="C185" t="s">
        <v>830</v>
      </c>
      <c r="D185">
        <v>8</v>
      </c>
      <c r="E185" t="s">
        <v>126</v>
      </c>
    </row>
    <row r="186" spans="1:5" x14ac:dyDescent="0.25">
      <c r="A186" s="1">
        <v>46035</v>
      </c>
      <c r="B186" t="s">
        <v>831</v>
      </c>
      <c r="C186" t="s">
        <v>832</v>
      </c>
      <c r="D186">
        <v>5</v>
      </c>
      <c r="E186" t="s">
        <v>126</v>
      </c>
    </row>
    <row r="187" spans="1:5" x14ac:dyDescent="0.25">
      <c r="A187" s="1">
        <v>46035</v>
      </c>
      <c r="B187" t="s">
        <v>833</v>
      </c>
      <c r="C187" t="s">
        <v>834</v>
      </c>
      <c r="D187">
        <v>4</v>
      </c>
      <c r="E187" t="s">
        <v>126</v>
      </c>
    </row>
    <row r="188" spans="1:5" x14ac:dyDescent="0.25">
      <c r="A188" s="1">
        <v>46035</v>
      </c>
      <c r="B188" t="s">
        <v>829</v>
      </c>
      <c r="C188" t="s">
        <v>830</v>
      </c>
      <c r="D188">
        <v>4</v>
      </c>
      <c r="E188" t="s">
        <v>48</v>
      </c>
    </row>
    <row r="189" spans="1:5" x14ac:dyDescent="0.25">
      <c r="A189" s="1">
        <v>46035</v>
      </c>
      <c r="B189" t="s">
        <v>831</v>
      </c>
      <c r="C189" t="s">
        <v>832</v>
      </c>
      <c r="D189">
        <v>3</v>
      </c>
      <c r="E189" t="s">
        <v>48</v>
      </c>
    </row>
    <row r="190" spans="1:5" x14ac:dyDescent="0.25">
      <c r="A190" s="1">
        <v>46035</v>
      </c>
      <c r="B190" t="s">
        <v>833</v>
      </c>
      <c r="C190" t="s">
        <v>834</v>
      </c>
      <c r="D190">
        <v>4</v>
      </c>
      <c r="E190" t="s">
        <v>48</v>
      </c>
    </row>
    <row r="191" spans="1:5" x14ac:dyDescent="0.25">
      <c r="A191" s="1">
        <v>46035</v>
      </c>
      <c r="B191" t="s">
        <v>829</v>
      </c>
      <c r="C191" t="s">
        <v>830</v>
      </c>
      <c r="D191">
        <v>7</v>
      </c>
      <c r="E191" t="s">
        <v>21</v>
      </c>
    </row>
    <row r="192" spans="1:5" x14ac:dyDescent="0.25">
      <c r="A192" s="1">
        <v>46035</v>
      </c>
      <c r="B192" t="s">
        <v>831</v>
      </c>
      <c r="C192" t="s">
        <v>832</v>
      </c>
      <c r="D192">
        <v>6</v>
      </c>
      <c r="E192" t="s">
        <v>21</v>
      </c>
    </row>
    <row r="193" spans="1:5" x14ac:dyDescent="0.25">
      <c r="A193" s="1">
        <v>46035</v>
      </c>
      <c r="B193" t="s">
        <v>833</v>
      </c>
      <c r="C193" t="s">
        <v>834</v>
      </c>
      <c r="D193">
        <v>4</v>
      </c>
      <c r="E193" t="s">
        <v>21</v>
      </c>
    </row>
    <row r="194" spans="1:5" x14ac:dyDescent="0.25">
      <c r="A194" s="1">
        <v>46035</v>
      </c>
      <c r="B194" t="s">
        <v>829</v>
      </c>
      <c r="C194" t="s">
        <v>830</v>
      </c>
      <c r="D194">
        <v>9</v>
      </c>
      <c r="E194" t="s">
        <v>58</v>
      </c>
    </row>
    <row r="195" spans="1:5" x14ac:dyDescent="0.25">
      <c r="A195" s="1">
        <v>46035</v>
      </c>
      <c r="B195" t="s">
        <v>831</v>
      </c>
      <c r="C195" t="s">
        <v>832</v>
      </c>
      <c r="D195">
        <v>4</v>
      </c>
      <c r="E195" t="s">
        <v>58</v>
      </c>
    </row>
    <row r="196" spans="1:5" x14ac:dyDescent="0.25">
      <c r="A196" s="1">
        <v>46035</v>
      </c>
      <c r="B196" t="s">
        <v>833</v>
      </c>
      <c r="C196" t="s">
        <v>834</v>
      </c>
      <c r="D196">
        <v>2</v>
      </c>
      <c r="E196" t="s">
        <v>58</v>
      </c>
    </row>
    <row r="197" spans="1:5" x14ac:dyDescent="0.25">
      <c r="A197" s="1">
        <v>46036</v>
      </c>
      <c r="B197" t="s">
        <v>829</v>
      </c>
      <c r="C197" t="s">
        <v>830</v>
      </c>
      <c r="D197">
        <v>7</v>
      </c>
      <c r="E197" t="s">
        <v>28</v>
      </c>
    </row>
    <row r="198" spans="1:5" x14ac:dyDescent="0.25">
      <c r="A198" s="1">
        <v>46036</v>
      </c>
      <c r="B198" t="s">
        <v>831</v>
      </c>
      <c r="C198" t="s">
        <v>832</v>
      </c>
      <c r="D198">
        <v>10</v>
      </c>
      <c r="E198" t="s">
        <v>28</v>
      </c>
    </row>
    <row r="199" spans="1:5" x14ac:dyDescent="0.25">
      <c r="A199" s="1">
        <v>46036</v>
      </c>
      <c r="B199" t="s">
        <v>833</v>
      </c>
      <c r="C199" t="s">
        <v>834</v>
      </c>
      <c r="D199">
        <v>7</v>
      </c>
      <c r="E199" t="s">
        <v>28</v>
      </c>
    </row>
    <row r="200" spans="1:5" x14ac:dyDescent="0.25">
      <c r="A200" s="1">
        <v>46036</v>
      </c>
      <c r="B200" t="s">
        <v>829</v>
      </c>
      <c r="C200" t="s">
        <v>830</v>
      </c>
      <c r="D200">
        <v>5</v>
      </c>
      <c r="E200" t="s">
        <v>126</v>
      </c>
    </row>
    <row r="201" spans="1:5" x14ac:dyDescent="0.25">
      <c r="A201" s="1">
        <v>46036</v>
      </c>
      <c r="B201" t="s">
        <v>831</v>
      </c>
      <c r="C201" t="s">
        <v>832</v>
      </c>
      <c r="D201">
        <v>7</v>
      </c>
      <c r="E201" t="s">
        <v>126</v>
      </c>
    </row>
    <row r="202" spans="1:5" x14ac:dyDescent="0.25">
      <c r="A202" s="1">
        <v>46036</v>
      </c>
      <c r="B202" t="s">
        <v>833</v>
      </c>
      <c r="C202" t="s">
        <v>834</v>
      </c>
      <c r="D202">
        <v>1</v>
      </c>
      <c r="E202" t="s">
        <v>126</v>
      </c>
    </row>
    <row r="203" spans="1:5" x14ac:dyDescent="0.25">
      <c r="A203" s="1">
        <v>46036</v>
      </c>
      <c r="B203" t="s">
        <v>829</v>
      </c>
      <c r="C203" t="s">
        <v>830</v>
      </c>
      <c r="D203">
        <v>5</v>
      </c>
      <c r="E203" t="s">
        <v>48</v>
      </c>
    </row>
    <row r="204" spans="1:5" x14ac:dyDescent="0.25">
      <c r="A204" s="1">
        <v>46036</v>
      </c>
      <c r="B204" t="s">
        <v>831</v>
      </c>
      <c r="C204" t="s">
        <v>832</v>
      </c>
      <c r="D204">
        <v>7</v>
      </c>
      <c r="E204" t="s">
        <v>48</v>
      </c>
    </row>
    <row r="205" spans="1:5" x14ac:dyDescent="0.25">
      <c r="A205" s="1">
        <v>46036</v>
      </c>
      <c r="B205" t="s">
        <v>833</v>
      </c>
      <c r="C205" t="s">
        <v>834</v>
      </c>
      <c r="D205">
        <v>3</v>
      </c>
      <c r="E205" t="s">
        <v>48</v>
      </c>
    </row>
    <row r="206" spans="1:5" x14ac:dyDescent="0.25">
      <c r="A206" s="1">
        <v>46036</v>
      </c>
      <c r="B206" t="s">
        <v>829</v>
      </c>
      <c r="C206" t="s">
        <v>830</v>
      </c>
      <c r="D206">
        <v>5</v>
      </c>
      <c r="E206" t="s">
        <v>21</v>
      </c>
    </row>
    <row r="207" spans="1:5" x14ac:dyDescent="0.25">
      <c r="A207" s="1">
        <v>46036</v>
      </c>
      <c r="B207" t="s">
        <v>831</v>
      </c>
      <c r="C207" t="s">
        <v>832</v>
      </c>
      <c r="D207">
        <v>7</v>
      </c>
      <c r="E207" t="s">
        <v>21</v>
      </c>
    </row>
    <row r="208" spans="1:5" x14ac:dyDescent="0.25">
      <c r="A208" s="1">
        <v>46036</v>
      </c>
      <c r="B208" t="s">
        <v>833</v>
      </c>
      <c r="C208" t="s">
        <v>834</v>
      </c>
      <c r="D208">
        <v>1</v>
      </c>
      <c r="E208" t="s">
        <v>21</v>
      </c>
    </row>
    <row r="209" spans="1:5" x14ac:dyDescent="0.25">
      <c r="A209" s="1">
        <v>46036</v>
      </c>
      <c r="B209" t="s">
        <v>829</v>
      </c>
      <c r="C209" t="s">
        <v>830</v>
      </c>
      <c r="D209">
        <v>11</v>
      </c>
      <c r="E209" t="s">
        <v>58</v>
      </c>
    </row>
    <row r="210" spans="1:5" x14ac:dyDescent="0.25">
      <c r="A210" s="1">
        <v>46036</v>
      </c>
      <c r="B210" t="s">
        <v>831</v>
      </c>
      <c r="C210" t="s">
        <v>832</v>
      </c>
      <c r="D210">
        <v>6</v>
      </c>
      <c r="E210" t="s">
        <v>58</v>
      </c>
    </row>
    <row r="211" spans="1:5" x14ac:dyDescent="0.25">
      <c r="A211" s="1">
        <v>46036</v>
      </c>
      <c r="B211" t="s">
        <v>833</v>
      </c>
      <c r="C211" t="s">
        <v>834</v>
      </c>
      <c r="D211">
        <v>1</v>
      </c>
      <c r="E211" t="s">
        <v>58</v>
      </c>
    </row>
    <row r="212" spans="1:5" x14ac:dyDescent="0.25">
      <c r="A212" s="1">
        <v>46037</v>
      </c>
      <c r="B212" t="s">
        <v>829</v>
      </c>
      <c r="C212" t="s">
        <v>830</v>
      </c>
      <c r="D212">
        <v>9</v>
      </c>
      <c r="E212" t="s">
        <v>28</v>
      </c>
    </row>
    <row r="213" spans="1:5" x14ac:dyDescent="0.25">
      <c r="A213" s="1">
        <v>46037</v>
      </c>
      <c r="B213" t="s">
        <v>831</v>
      </c>
      <c r="C213" t="s">
        <v>832</v>
      </c>
      <c r="D213">
        <v>10</v>
      </c>
      <c r="E213" t="s">
        <v>28</v>
      </c>
    </row>
    <row r="214" spans="1:5" x14ac:dyDescent="0.25">
      <c r="A214" s="1">
        <v>46037</v>
      </c>
      <c r="B214" t="s">
        <v>833</v>
      </c>
      <c r="C214" t="s">
        <v>834</v>
      </c>
      <c r="D214">
        <v>5</v>
      </c>
      <c r="E214" t="s">
        <v>28</v>
      </c>
    </row>
    <row r="215" spans="1:5" x14ac:dyDescent="0.25">
      <c r="A215" s="1">
        <v>46037</v>
      </c>
      <c r="B215" t="s">
        <v>829</v>
      </c>
      <c r="C215" t="s">
        <v>830</v>
      </c>
      <c r="D215">
        <v>6</v>
      </c>
      <c r="E215" t="s">
        <v>126</v>
      </c>
    </row>
    <row r="216" spans="1:5" x14ac:dyDescent="0.25">
      <c r="A216" s="1">
        <v>46037</v>
      </c>
      <c r="B216" t="s">
        <v>831</v>
      </c>
      <c r="C216" t="s">
        <v>832</v>
      </c>
      <c r="D216">
        <v>4</v>
      </c>
      <c r="E216" t="s">
        <v>126</v>
      </c>
    </row>
    <row r="217" spans="1:5" x14ac:dyDescent="0.25">
      <c r="A217" s="1">
        <v>46037</v>
      </c>
      <c r="B217" t="s">
        <v>833</v>
      </c>
      <c r="C217" t="s">
        <v>834</v>
      </c>
      <c r="D217">
        <v>5</v>
      </c>
      <c r="E217" t="s">
        <v>126</v>
      </c>
    </row>
    <row r="218" spans="1:5" x14ac:dyDescent="0.25">
      <c r="A218" s="1">
        <v>46037</v>
      </c>
      <c r="B218" t="s">
        <v>829</v>
      </c>
      <c r="C218" t="s">
        <v>830</v>
      </c>
      <c r="D218">
        <v>8</v>
      </c>
      <c r="E218" t="s">
        <v>48</v>
      </c>
    </row>
    <row r="219" spans="1:5" x14ac:dyDescent="0.25">
      <c r="A219" s="1">
        <v>46037</v>
      </c>
      <c r="B219" t="s">
        <v>831</v>
      </c>
      <c r="C219" t="s">
        <v>832</v>
      </c>
      <c r="D219">
        <v>7</v>
      </c>
      <c r="E219" t="s">
        <v>48</v>
      </c>
    </row>
    <row r="220" spans="1:5" x14ac:dyDescent="0.25">
      <c r="A220" s="1">
        <v>46037</v>
      </c>
      <c r="B220" t="s">
        <v>833</v>
      </c>
      <c r="C220" t="s">
        <v>834</v>
      </c>
      <c r="D220">
        <v>3</v>
      </c>
      <c r="E220" t="s">
        <v>48</v>
      </c>
    </row>
    <row r="221" spans="1:5" x14ac:dyDescent="0.25">
      <c r="A221" s="1">
        <v>46037</v>
      </c>
      <c r="B221" t="s">
        <v>829</v>
      </c>
      <c r="C221" t="s">
        <v>830</v>
      </c>
      <c r="D221">
        <v>5</v>
      </c>
      <c r="E221" t="s">
        <v>21</v>
      </c>
    </row>
    <row r="222" spans="1:5" x14ac:dyDescent="0.25">
      <c r="A222" s="1">
        <v>46037</v>
      </c>
      <c r="B222" t="s">
        <v>831</v>
      </c>
      <c r="C222" t="s">
        <v>832</v>
      </c>
      <c r="D222">
        <v>7</v>
      </c>
      <c r="E222" t="s">
        <v>21</v>
      </c>
    </row>
    <row r="223" spans="1:5" x14ac:dyDescent="0.25">
      <c r="A223" s="1">
        <v>46037</v>
      </c>
      <c r="B223" t="s">
        <v>833</v>
      </c>
      <c r="C223" t="s">
        <v>834</v>
      </c>
      <c r="D223">
        <v>2</v>
      </c>
      <c r="E223" t="s">
        <v>21</v>
      </c>
    </row>
    <row r="224" spans="1:5" x14ac:dyDescent="0.25">
      <c r="A224" s="1">
        <v>46037</v>
      </c>
      <c r="B224" t="s">
        <v>829</v>
      </c>
      <c r="C224" t="s">
        <v>830</v>
      </c>
      <c r="D224">
        <v>8</v>
      </c>
      <c r="E224" t="s">
        <v>58</v>
      </c>
    </row>
    <row r="225" spans="1:5" x14ac:dyDescent="0.25">
      <c r="A225" s="1">
        <v>46037</v>
      </c>
      <c r="B225" t="s">
        <v>831</v>
      </c>
      <c r="C225" t="s">
        <v>832</v>
      </c>
      <c r="D225">
        <v>7</v>
      </c>
      <c r="E225" t="s">
        <v>58</v>
      </c>
    </row>
    <row r="226" spans="1:5" x14ac:dyDescent="0.25">
      <c r="A226" s="1">
        <v>46037</v>
      </c>
      <c r="B226" t="s">
        <v>833</v>
      </c>
      <c r="C226" t="s">
        <v>834</v>
      </c>
      <c r="D226">
        <v>2</v>
      </c>
      <c r="E226" t="s">
        <v>58</v>
      </c>
    </row>
    <row r="227" spans="1:5" x14ac:dyDescent="0.25">
      <c r="A227" s="1">
        <v>46038</v>
      </c>
      <c r="B227" t="s">
        <v>829</v>
      </c>
      <c r="C227" t="s">
        <v>830</v>
      </c>
      <c r="D227">
        <v>9</v>
      </c>
      <c r="E227" t="s">
        <v>28</v>
      </c>
    </row>
    <row r="228" spans="1:5" x14ac:dyDescent="0.25">
      <c r="A228" s="1">
        <v>46038</v>
      </c>
      <c r="B228" t="s">
        <v>831</v>
      </c>
      <c r="C228" t="s">
        <v>832</v>
      </c>
      <c r="D228">
        <v>11</v>
      </c>
      <c r="E228" t="s">
        <v>28</v>
      </c>
    </row>
    <row r="229" spans="1:5" x14ac:dyDescent="0.25">
      <c r="A229" s="1">
        <v>46038</v>
      </c>
      <c r="B229" t="s">
        <v>833</v>
      </c>
      <c r="C229" t="s">
        <v>834</v>
      </c>
      <c r="D229">
        <v>6</v>
      </c>
      <c r="E229" t="s">
        <v>28</v>
      </c>
    </row>
    <row r="230" spans="1:5" x14ac:dyDescent="0.25">
      <c r="A230" s="1">
        <v>46038</v>
      </c>
      <c r="B230" t="s">
        <v>829</v>
      </c>
      <c r="C230" t="s">
        <v>830</v>
      </c>
      <c r="D230">
        <v>4</v>
      </c>
      <c r="E230" t="s">
        <v>126</v>
      </c>
    </row>
    <row r="231" spans="1:5" x14ac:dyDescent="0.25">
      <c r="A231" s="1">
        <v>46038</v>
      </c>
      <c r="B231" t="s">
        <v>831</v>
      </c>
      <c r="C231" t="s">
        <v>832</v>
      </c>
      <c r="D231">
        <v>3</v>
      </c>
      <c r="E231" t="s">
        <v>126</v>
      </c>
    </row>
    <row r="232" spans="1:5" x14ac:dyDescent="0.25">
      <c r="A232" s="1">
        <v>46038</v>
      </c>
      <c r="B232" t="s">
        <v>833</v>
      </c>
      <c r="C232" t="s">
        <v>834</v>
      </c>
      <c r="D232">
        <v>3</v>
      </c>
      <c r="E232" t="s">
        <v>126</v>
      </c>
    </row>
    <row r="233" spans="1:5" x14ac:dyDescent="0.25">
      <c r="A233" s="1">
        <v>46038</v>
      </c>
      <c r="B233" t="s">
        <v>829</v>
      </c>
      <c r="C233" t="s">
        <v>830</v>
      </c>
      <c r="D233">
        <v>7</v>
      </c>
      <c r="E233" t="s">
        <v>48</v>
      </c>
    </row>
    <row r="234" spans="1:5" x14ac:dyDescent="0.25">
      <c r="A234" s="1">
        <v>46038</v>
      </c>
      <c r="B234" t="s">
        <v>831</v>
      </c>
      <c r="C234" t="s">
        <v>832</v>
      </c>
      <c r="D234">
        <v>5</v>
      </c>
      <c r="E234" t="s">
        <v>48</v>
      </c>
    </row>
    <row r="235" spans="1:5" x14ac:dyDescent="0.25">
      <c r="A235" s="1">
        <v>46038</v>
      </c>
      <c r="B235" t="s">
        <v>833</v>
      </c>
      <c r="C235" t="s">
        <v>834</v>
      </c>
      <c r="D235">
        <v>2</v>
      </c>
      <c r="E235" t="s">
        <v>48</v>
      </c>
    </row>
    <row r="236" spans="1:5" x14ac:dyDescent="0.25">
      <c r="A236" s="1">
        <v>46038</v>
      </c>
      <c r="B236" t="s">
        <v>829</v>
      </c>
      <c r="C236" t="s">
        <v>830</v>
      </c>
      <c r="D236">
        <v>8</v>
      </c>
      <c r="E236" t="s">
        <v>21</v>
      </c>
    </row>
    <row r="237" spans="1:5" x14ac:dyDescent="0.25">
      <c r="A237" s="1">
        <v>46038</v>
      </c>
      <c r="B237" t="s">
        <v>831</v>
      </c>
      <c r="C237" t="s">
        <v>832</v>
      </c>
      <c r="D237">
        <v>5</v>
      </c>
      <c r="E237" t="s">
        <v>21</v>
      </c>
    </row>
    <row r="238" spans="1:5" x14ac:dyDescent="0.25">
      <c r="A238" s="1">
        <v>46038</v>
      </c>
      <c r="B238" t="s">
        <v>833</v>
      </c>
      <c r="C238" t="s">
        <v>834</v>
      </c>
      <c r="D238">
        <v>4</v>
      </c>
      <c r="E238" t="s">
        <v>21</v>
      </c>
    </row>
    <row r="239" spans="1:5" x14ac:dyDescent="0.25">
      <c r="A239" s="1">
        <v>46038</v>
      </c>
      <c r="B239" t="s">
        <v>829</v>
      </c>
      <c r="C239" t="s">
        <v>830</v>
      </c>
      <c r="D239">
        <v>9</v>
      </c>
      <c r="E239" t="s">
        <v>58</v>
      </c>
    </row>
    <row r="240" spans="1:5" x14ac:dyDescent="0.25">
      <c r="A240" s="1">
        <v>46038</v>
      </c>
      <c r="B240" t="s">
        <v>831</v>
      </c>
      <c r="C240" t="s">
        <v>832</v>
      </c>
      <c r="D240">
        <v>6</v>
      </c>
      <c r="E240" t="s">
        <v>58</v>
      </c>
    </row>
    <row r="241" spans="1:5" x14ac:dyDescent="0.25">
      <c r="A241" s="1">
        <v>46038</v>
      </c>
      <c r="B241" t="s">
        <v>833</v>
      </c>
      <c r="C241" t="s">
        <v>834</v>
      </c>
      <c r="D241">
        <v>1</v>
      </c>
      <c r="E241" t="s">
        <v>58</v>
      </c>
    </row>
    <row r="242" spans="1:5" x14ac:dyDescent="0.25">
      <c r="A242" s="1">
        <v>46039</v>
      </c>
      <c r="B242" t="s">
        <v>829</v>
      </c>
      <c r="C242" t="s">
        <v>830</v>
      </c>
      <c r="D242">
        <v>4</v>
      </c>
      <c r="E242" t="s">
        <v>28</v>
      </c>
    </row>
    <row r="243" spans="1:5" x14ac:dyDescent="0.25">
      <c r="A243" s="1">
        <v>46039</v>
      </c>
      <c r="B243" t="s">
        <v>831</v>
      </c>
      <c r="C243" t="s">
        <v>832</v>
      </c>
      <c r="D243">
        <v>8</v>
      </c>
      <c r="E243" t="s">
        <v>28</v>
      </c>
    </row>
    <row r="244" spans="1:5" x14ac:dyDescent="0.25">
      <c r="A244" s="1">
        <v>46039</v>
      </c>
      <c r="B244" t="s">
        <v>833</v>
      </c>
      <c r="C244" t="s">
        <v>834</v>
      </c>
      <c r="D244">
        <v>6</v>
      </c>
      <c r="E244" t="s">
        <v>28</v>
      </c>
    </row>
    <row r="245" spans="1:5" x14ac:dyDescent="0.25">
      <c r="A245" s="1">
        <v>46039</v>
      </c>
      <c r="B245" t="s">
        <v>829</v>
      </c>
      <c r="C245" t="s">
        <v>830</v>
      </c>
      <c r="D245">
        <v>4</v>
      </c>
      <c r="E245" t="s">
        <v>126</v>
      </c>
    </row>
    <row r="246" spans="1:5" x14ac:dyDescent="0.25">
      <c r="A246" s="1">
        <v>46039</v>
      </c>
      <c r="B246" t="s">
        <v>831</v>
      </c>
      <c r="C246" t="s">
        <v>832</v>
      </c>
      <c r="D246">
        <v>4</v>
      </c>
      <c r="E246" t="s">
        <v>126</v>
      </c>
    </row>
    <row r="247" spans="1:5" x14ac:dyDescent="0.25">
      <c r="A247" s="1">
        <v>46039</v>
      </c>
      <c r="B247" t="s">
        <v>833</v>
      </c>
      <c r="C247" t="s">
        <v>834</v>
      </c>
      <c r="D247">
        <v>1</v>
      </c>
      <c r="E247" t="s">
        <v>126</v>
      </c>
    </row>
    <row r="248" spans="1:5" x14ac:dyDescent="0.25">
      <c r="A248" s="1">
        <v>46039</v>
      </c>
      <c r="B248" t="s">
        <v>829</v>
      </c>
      <c r="C248" t="s">
        <v>830</v>
      </c>
      <c r="D248">
        <v>6</v>
      </c>
      <c r="E248" t="s">
        <v>48</v>
      </c>
    </row>
    <row r="249" spans="1:5" x14ac:dyDescent="0.25">
      <c r="A249" s="1">
        <v>46039</v>
      </c>
      <c r="B249" t="s">
        <v>831</v>
      </c>
      <c r="C249" t="s">
        <v>832</v>
      </c>
      <c r="D249">
        <v>6</v>
      </c>
      <c r="E249" t="s">
        <v>48</v>
      </c>
    </row>
    <row r="250" spans="1:5" x14ac:dyDescent="0.25">
      <c r="A250" s="1">
        <v>46039</v>
      </c>
      <c r="B250" t="s">
        <v>833</v>
      </c>
      <c r="C250" t="s">
        <v>834</v>
      </c>
      <c r="D250">
        <v>4</v>
      </c>
      <c r="E250" t="s">
        <v>48</v>
      </c>
    </row>
    <row r="251" spans="1:5" x14ac:dyDescent="0.25">
      <c r="A251" s="1">
        <v>46039</v>
      </c>
      <c r="B251" t="s">
        <v>829</v>
      </c>
      <c r="C251" t="s">
        <v>830</v>
      </c>
      <c r="D251">
        <v>3</v>
      </c>
      <c r="E251" t="s">
        <v>21</v>
      </c>
    </row>
    <row r="252" spans="1:5" x14ac:dyDescent="0.25">
      <c r="A252" s="1">
        <v>46039</v>
      </c>
      <c r="B252" t="s">
        <v>831</v>
      </c>
      <c r="C252" t="s">
        <v>832</v>
      </c>
      <c r="D252">
        <v>5</v>
      </c>
      <c r="E252" t="s">
        <v>21</v>
      </c>
    </row>
    <row r="253" spans="1:5" x14ac:dyDescent="0.25">
      <c r="A253" s="1">
        <v>46039</v>
      </c>
      <c r="B253" t="s">
        <v>833</v>
      </c>
      <c r="C253" t="s">
        <v>834</v>
      </c>
      <c r="D253">
        <v>2</v>
      </c>
      <c r="E253" t="s">
        <v>21</v>
      </c>
    </row>
    <row r="254" spans="1:5" x14ac:dyDescent="0.25">
      <c r="A254" s="1">
        <v>46039</v>
      </c>
      <c r="B254" t="s">
        <v>829</v>
      </c>
      <c r="C254" t="s">
        <v>830</v>
      </c>
      <c r="D254">
        <v>6</v>
      </c>
      <c r="E254" t="s">
        <v>58</v>
      </c>
    </row>
    <row r="255" spans="1:5" x14ac:dyDescent="0.25">
      <c r="A255" s="1">
        <v>46039</v>
      </c>
      <c r="B255" t="s">
        <v>831</v>
      </c>
      <c r="C255" t="s">
        <v>832</v>
      </c>
      <c r="D255">
        <v>3</v>
      </c>
      <c r="E255" t="s">
        <v>58</v>
      </c>
    </row>
    <row r="256" spans="1:5" x14ac:dyDescent="0.25">
      <c r="A256" s="1">
        <v>46039</v>
      </c>
      <c r="B256" t="s">
        <v>833</v>
      </c>
      <c r="C256" t="s">
        <v>834</v>
      </c>
      <c r="D256">
        <v>3</v>
      </c>
      <c r="E256" t="s">
        <v>58</v>
      </c>
    </row>
    <row r="257" spans="1:5" x14ac:dyDescent="0.25">
      <c r="A257" s="1">
        <v>46040</v>
      </c>
      <c r="B257" t="s">
        <v>829</v>
      </c>
      <c r="C257" t="s">
        <v>830</v>
      </c>
      <c r="D257">
        <v>7</v>
      </c>
      <c r="E257" t="s">
        <v>28</v>
      </c>
    </row>
    <row r="258" spans="1:5" x14ac:dyDescent="0.25">
      <c r="A258" s="1">
        <v>46040</v>
      </c>
      <c r="B258" t="s">
        <v>831</v>
      </c>
      <c r="C258" t="s">
        <v>832</v>
      </c>
      <c r="D258">
        <v>8</v>
      </c>
      <c r="E258" t="s">
        <v>28</v>
      </c>
    </row>
    <row r="259" spans="1:5" x14ac:dyDescent="0.25">
      <c r="A259" s="1">
        <v>46040</v>
      </c>
      <c r="B259" t="s">
        <v>833</v>
      </c>
      <c r="C259" t="s">
        <v>834</v>
      </c>
      <c r="D259">
        <v>6</v>
      </c>
      <c r="E259" t="s">
        <v>28</v>
      </c>
    </row>
    <row r="260" spans="1:5" x14ac:dyDescent="0.25">
      <c r="A260" s="1">
        <v>46040</v>
      </c>
      <c r="B260" t="s">
        <v>829</v>
      </c>
      <c r="C260" t="s">
        <v>830</v>
      </c>
      <c r="D260">
        <v>5</v>
      </c>
      <c r="E260" t="s">
        <v>126</v>
      </c>
    </row>
    <row r="261" spans="1:5" x14ac:dyDescent="0.25">
      <c r="A261" s="1">
        <v>46040</v>
      </c>
      <c r="B261" t="s">
        <v>831</v>
      </c>
      <c r="C261" t="s">
        <v>832</v>
      </c>
      <c r="D261">
        <v>2</v>
      </c>
      <c r="E261" t="s">
        <v>126</v>
      </c>
    </row>
    <row r="262" spans="1:5" x14ac:dyDescent="0.25">
      <c r="A262" s="1">
        <v>46040</v>
      </c>
      <c r="B262" t="s">
        <v>833</v>
      </c>
      <c r="C262" t="s">
        <v>834</v>
      </c>
      <c r="D262">
        <v>3</v>
      </c>
      <c r="E262" t="s">
        <v>126</v>
      </c>
    </row>
    <row r="263" spans="1:5" x14ac:dyDescent="0.25">
      <c r="A263" s="1">
        <v>46040</v>
      </c>
      <c r="B263" t="s">
        <v>829</v>
      </c>
      <c r="C263" t="s">
        <v>830</v>
      </c>
      <c r="D263">
        <v>6</v>
      </c>
      <c r="E263" t="s">
        <v>48</v>
      </c>
    </row>
    <row r="264" spans="1:5" x14ac:dyDescent="0.25">
      <c r="A264" s="1">
        <v>46040</v>
      </c>
      <c r="B264" t="s">
        <v>831</v>
      </c>
      <c r="C264" t="s">
        <v>832</v>
      </c>
      <c r="D264">
        <v>5</v>
      </c>
      <c r="E264" t="s">
        <v>48</v>
      </c>
    </row>
    <row r="265" spans="1:5" x14ac:dyDescent="0.25">
      <c r="A265" s="1">
        <v>46040</v>
      </c>
      <c r="B265" t="s">
        <v>833</v>
      </c>
      <c r="C265" t="s">
        <v>834</v>
      </c>
      <c r="D265">
        <v>1</v>
      </c>
      <c r="E265" t="s">
        <v>48</v>
      </c>
    </row>
    <row r="266" spans="1:5" x14ac:dyDescent="0.25">
      <c r="A266" s="1">
        <v>46040</v>
      </c>
      <c r="B266" t="s">
        <v>829</v>
      </c>
      <c r="C266" t="s">
        <v>830</v>
      </c>
      <c r="D266">
        <v>4</v>
      </c>
      <c r="E266" t="s">
        <v>21</v>
      </c>
    </row>
    <row r="267" spans="1:5" x14ac:dyDescent="0.25">
      <c r="A267" s="1">
        <v>46040</v>
      </c>
      <c r="B267" t="s">
        <v>831</v>
      </c>
      <c r="C267" t="s">
        <v>832</v>
      </c>
      <c r="D267">
        <v>3</v>
      </c>
      <c r="E267" t="s">
        <v>21</v>
      </c>
    </row>
    <row r="268" spans="1:5" x14ac:dyDescent="0.25">
      <c r="A268" s="1">
        <v>46040</v>
      </c>
      <c r="B268" t="s">
        <v>833</v>
      </c>
      <c r="C268" t="s">
        <v>834</v>
      </c>
      <c r="D268">
        <v>1</v>
      </c>
      <c r="E268" t="s">
        <v>21</v>
      </c>
    </row>
    <row r="269" spans="1:5" x14ac:dyDescent="0.25">
      <c r="A269" s="1">
        <v>46040</v>
      </c>
      <c r="B269" t="s">
        <v>829</v>
      </c>
      <c r="C269" t="s">
        <v>830</v>
      </c>
      <c r="D269">
        <v>6</v>
      </c>
      <c r="E269" t="s">
        <v>58</v>
      </c>
    </row>
    <row r="270" spans="1:5" x14ac:dyDescent="0.25">
      <c r="A270" s="1">
        <v>46040</v>
      </c>
      <c r="B270" t="s">
        <v>831</v>
      </c>
      <c r="C270" t="s">
        <v>832</v>
      </c>
      <c r="D270">
        <v>4</v>
      </c>
      <c r="E270" t="s">
        <v>58</v>
      </c>
    </row>
    <row r="271" spans="1:5" x14ac:dyDescent="0.25">
      <c r="A271" s="1">
        <v>46040</v>
      </c>
      <c r="B271" t="s">
        <v>833</v>
      </c>
      <c r="C271" t="s">
        <v>834</v>
      </c>
      <c r="D271">
        <v>4</v>
      </c>
      <c r="E271" t="s">
        <v>58</v>
      </c>
    </row>
    <row r="272" spans="1:5" x14ac:dyDescent="0.25">
      <c r="A272" s="1">
        <v>46041</v>
      </c>
      <c r="B272" t="s">
        <v>829</v>
      </c>
      <c r="C272" t="s">
        <v>830</v>
      </c>
      <c r="D272">
        <v>6</v>
      </c>
      <c r="E272" t="s">
        <v>28</v>
      </c>
    </row>
    <row r="273" spans="1:5" x14ac:dyDescent="0.25">
      <c r="A273" s="1">
        <v>46041</v>
      </c>
      <c r="B273" t="s">
        <v>831</v>
      </c>
      <c r="C273" t="s">
        <v>832</v>
      </c>
      <c r="D273">
        <v>12</v>
      </c>
      <c r="E273" t="s">
        <v>28</v>
      </c>
    </row>
    <row r="274" spans="1:5" x14ac:dyDescent="0.25">
      <c r="A274" s="1">
        <v>46041</v>
      </c>
      <c r="B274" t="s">
        <v>833</v>
      </c>
      <c r="C274" t="s">
        <v>834</v>
      </c>
      <c r="D274">
        <v>8</v>
      </c>
      <c r="E274" t="s">
        <v>28</v>
      </c>
    </row>
    <row r="275" spans="1:5" x14ac:dyDescent="0.25">
      <c r="A275" s="1">
        <v>46041</v>
      </c>
      <c r="B275" t="s">
        <v>829</v>
      </c>
      <c r="C275" t="s">
        <v>830</v>
      </c>
      <c r="D275">
        <v>7</v>
      </c>
      <c r="E275" t="s">
        <v>126</v>
      </c>
    </row>
    <row r="276" spans="1:5" x14ac:dyDescent="0.25">
      <c r="A276" s="1">
        <v>46041</v>
      </c>
      <c r="B276" t="s">
        <v>831</v>
      </c>
      <c r="C276" t="s">
        <v>832</v>
      </c>
      <c r="D276">
        <v>5</v>
      </c>
      <c r="E276" t="s">
        <v>126</v>
      </c>
    </row>
    <row r="277" spans="1:5" x14ac:dyDescent="0.25">
      <c r="A277" s="1">
        <v>46041</v>
      </c>
      <c r="B277" t="s">
        <v>833</v>
      </c>
      <c r="C277" t="s">
        <v>834</v>
      </c>
      <c r="D277">
        <v>2</v>
      </c>
      <c r="E277" t="s">
        <v>126</v>
      </c>
    </row>
    <row r="278" spans="1:5" x14ac:dyDescent="0.25">
      <c r="A278" s="1">
        <v>46041</v>
      </c>
      <c r="B278" t="s">
        <v>829</v>
      </c>
      <c r="C278" t="s">
        <v>830</v>
      </c>
      <c r="D278">
        <v>8</v>
      </c>
      <c r="E278" t="s">
        <v>48</v>
      </c>
    </row>
    <row r="279" spans="1:5" x14ac:dyDescent="0.25">
      <c r="A279" s="1">
        <v>46041</v>
      </c>
      <c r="B279" t="s">
        <v>831</v>
      </c>
      <c r="C279" t="s">
        <v>832</v>
      </c>
      <c r="D279">
        <v>7</v>
      </c>
      <c r="E279" t="s">
        <v>48</v>
      </c>
    </row>
    <row r="280" spans="1:5" x14ac:dyDescent="0.25">
      <c r="A280" s="1">
        <v>46041</v>
      </c>
      <c r="B280" t="s">
        <v>833</v>
      </c>
      <c r="C280" t="s">
        <v>834</v>
      </c>
      <c r="D280">
        <v>2</v>
      </c>
      <c r="E280" t="s">
        <v>48</v>
      </c>
    </row>
    <row r="281" spans="1:5" x14ac:dyDescent="0.25">
      <c r="A281" s="1">
        <v>46041</v>
      </c>
      <c r="B281" t="s">
        <v>829</v>
      </c>
      <c r="C281" t="s">
        <v>830</v>
      </c>
      <c r="D281">
        <v>4</v>
      </c>
      <c r="E281" t="s">
        <v>21</v>
      </c>
    </row>
    <row r="282" spans="1:5" x14ac:dyDescent="0.25">
      <c r="A282" s="1">
        <v>46041</v>
      </c>
      <c r="B282" t="s">
        <v>831</v>
      </c>
      <c r="C282" t="s">
        <v>832</v>
      </c>
      <c r="D282">
        <v>3</v>
      </c>
      <c r="E282" t="s">
        <v>21</v>
      </c>
    </row>
    <row r="283" spans="1:5" x14ac:dyDescent="0.25">
      <c r="A283" s="1">
        <v>46041</v>
      </c>
      <c r="B283" t="s">
        <v>833</v>
      </c>
      <c r="C283" t="s">
        <v>834</v>
      </c>
      <c r="D283">
        <v>1</v>
      </c>
      <c r="E283" t="s">
        <v>21</v>
      </c>
    </row>
    <row r="284" spans="1:5" x14ac:dyDescent="0.25">
      <c r="A284" s="1">
        <v>46041</v>
      </c>
      <c r="B284" t="s">
        <v>829</v>
      </c>
      <c r="C284" t="s">
        <v>830</v>
      </c>
      <c r="D284">
        <v>11</v>
      </c>
      <c r="E284" t="s">
        <v>58</v>
      </c>
    </row>
    <row r="285" spans="1:5" x14ac:dyDescent="0.25">
      <c r="A285" s="1">
        <v>46041</v>
      </c>
      <c r="B285" t="s">
        <v>831</v>
      </c>
      <c r="C285" t="s">
        <v>832</v>
      </c>
      <c r="D285">
        <v>5</v>
      </c>
      <c r="E285" t="s">
        <v>58</v>
      </c>
    </row>
    <row r="286" spans="1:5" x14ac:dyDescent="0.25">
      <c r="A286" s="1">
        <v>46041</v>
      </c>
      <c r="B286" t="s">
        <v>833</v>
      </c>
      <c r="C286" t="s">
        <v>834</v>
      </c>
      <c r="D286">
        <v>4</v>
      </c>
      <c r="E286" t="s">
        <v>58</v>
      </c>
    </row>
    <row r="287" spans="1:5" x14ac:dyDescent="0.25">
      <c r="A287" s="1">
        <v>46042</v>
      </c>
      <c r="B287" t="s">
        <v>829</v>
      </c>
      <c r="C287" t="s">
        <v>830</v>
      </c>
      <c r="D287">
        <v>6</v>
      </c>
      <c r="E287" t="s">
        <v>28</v>
      </c>
    </row>
    <row r="288" spans="1:5" x14ac:dyDescent="0.25">
      <c r="A288" s="1">
        <v>46042</v>
      </c>
      <c r="B288" t="s">
        <v>831</v>
      </c>
      <c r="C288" t="s">
        <v>832</v>
      </c>
      <c r="D288">
        <v>8</v>
      </c>
      <c r="E288" t="s">
        <v>28</v>
      </c>
    </row>
    <row r="289" spans="1:5" x14ac:dyDescent="0.25">
      <c r="A289" s="1">
        <v>46042</v>
      </c>
      <c r="B289" t="s">
        <v>833</v>
      </c>
      <c r="C289" t="s">
        <v>834</v>
      </c>
      <c r="D289">
        <v>6</v>
      </c>
      <c r="E289" t="s">
        <v>28</v>
      </c>
    </row>
    <row r="290" spans="1:5" x14ac:dyDescent="0.25">
      <c r="A290" s="1">
        <v>46042</v>
      </c>
      <c r="B290" t="s">
        <v>829</v>
      </c>
      <c r="C290" t="s">
        <v>830</v>
      </c>
      <c r="D290">
        <v>5</v>
      </c>
      <c r="E290" t="s">
        <v>126</v>
      </c>
    </row>
    <row r="291" spans="1:5" x14ac:dyDescent="0.25">
      <c r="A291" s="1">
        <v>46042</v>
      </c>
      <c r="B291" t="s">
        <v>831</v>
      </c>
      <c r="C291" t="s">
        <v>832</v>
      </c>
      <c r="D291">
        <v>5</v>
      </c>
      <c r="E291" t="s">
        <v>126</v>
      </c>
    </row>
    <row r="292" spans="1:5" x14ac:dyDescent="0.25">
      <c r="A292" s="1">
        <v>46042</v>
      </c>
      <c r="B292" t="s">
        <v>833</v>
      </c>
      <c r="C292" t="s">
        <v>834</v>
      </c>
      <c r="D292">
        <v>5</v>
      </c>
      <c r="E292" t="s">
        <v>126</v>
      </c>
    </row>
    <row r="293" spans="1:5" x14ac:dyDescent="0.25">
      <c r="A293" s="1">
        <v>46042</v>
      </c>
      <c r="B293" t="s">
        <v>829</v>
      </c>
      <c r="C293" t="s">
        <v>830</v>
      </c>
      <c r="D293">
        <v>5</v>
      </c>
      <c r="E293" t="s">
        <v>48</v>
      </c>
    </row>
    <row r="294" spans="1:5" x14ac:dyDescent="0.25">
      <c r="A294" s="1">
        <v>46042</v>
      </c>
      <c r="B294" t="s">
        <v>831</v>
      </c>
      <c r="C294" t="s">
        <v>832</v>
      </c>
      <c r="D294">
        <v>7</v>
      </c>
      <c r="E294" t="s">
        <v>48</v>
      </c>
    </row>
    <row r="295" spans="1:5" x14ac:dyDescent="0.25">
      <c r="A295" s="1">
        <v>46042</v>
      </c>
      <c r="B295" t="s">
        <v>833</v>
      </c>
      <c r="C295" t="s">
        <v>834</v>
      </c>
      <c r="D295">
        <v>3</v>
      </c>
      <c r="E295" t="s">
        <v>48</v>
      </c>
    </row>
    <row r="296" spans="1:5" x14ac:dyDescent="0.25">
      <c r="A296" s="1">
        <v>46042</v>
      </c>
      <c r="B296" t="s">
        <v>829</v>
      </c>
      <c r="C296" t="s">
        <v>830</v>
      </c>
      <c r="D296">
        <v>6</v>
      </c>
      <c r="E296" t="s">
        <v>21</v>
      </c>
    </row>
    <row r="297" spans="1:5" x14ac:dyDescent="0.25">
      <c r="A297" s="1">
        <v>46042</v>
      </c>
      <c r="B297" t="s">
        <v>831</v>
      </c>
      <c r="C297" t="s">
        <v>832</v>
      </c>
      <c r="D297">
        <v>7</v>
      </c>
      <c r="E297" t="s">
        <v>21</v>
      </c>
    </row>
    <row r="298" spans="1:5" x14ac:dyDescent="0.25">
      <c r="A298" s="1">
        <v>46042</v>
      </c>
      <c r="B298" t="s">
        <v>833</v>
      </c>
      <c r="C298" t="s">
        <v>834</v>
      </c>
      <c r="D298">
        <v>4</v>
      </c>
      <c r="E298" t="s">
        <v>21</v>
      </c>
    </row>
    <row r="299" spans="1:5" x14ac:dyDescent="0.25">
      <c r="A299" s="1">
        <v>46042</v>
      </c>
      <c r="B299" t="s">
        <v>829</v>
      </c>
      <c r="C299" t="s">
        <v>830</v>
      </c>
      <c r="D299">
        <v>8</v>
      </c>
      <c r="E299" t="s">
        <v>58</v>
      </c>
    </row>
    <row r="300" spans="1:5" x14ac:dyDescent="0.25">
      <c r="A300" s="1">
        <v>46042</v>
      </c>
      <c r="B300" t="s">
        <v>831</v>
      </c>
      <c r="C300" t="s">
        <v>832</v>
      </c>
      <c r="D300">
        <v>4</v>
      </c>
      <c r="E300" t="s">
        <v>58</v>
      </c>
    </row>
    <row r="301" spans="1:5" x14ac:dyDescent="0.25">
      <c r="A301" s="1">
        <v>46042</v>
      </c>
      <c r="B301" t="s">
        <v>833</v>
      </c>
      <c r="C301" t="s">
        <v>834</v>
      </c>
      <c r="D301">
        <v>3</v>
      </c>
      <c r="E301" t="s">
        <v>58</v>
      </c>
    </row>
    <row r="302" spans="1:5" x14ac:dyDescent="0.25">
      <c r="A302" s="1">
        <v>46043</v>
      </c>
      <c r="B302" t="s">
        <v>829</v>
      </c>
      <c r="C302" t="s">
        <v>830</v>
      </c>
      <c r="D302">
        <v>9</v>
      </c>
      <c r="E302" t="s">
        <v>28</v>
      </c>
    </row>
    <row r="303" spans="1:5" x14ac:dyDescent="0.25">
      <c r="A303" s="1">
        <v>46043</v>
      </c>
      <c r="B303" t="s">
        <v>831</v>
      </c>
      <c r="C303" t="s">
        <v>832</v>
      </c>
      <c r="D303">
        <v>12</v>
      </c>
      <c r="E303" t="s">
        <v>28</v>
      </c>
    </row>
    <row r="304" spans="1:5" x14ac:dyDescent="0.25">
      <c r="A304" s="1">
        <v>46043</v>
      </c>
      <c r="B304" t="s">
        <v>833</v>
      </c>
      <c r="C304" t="s">
        <v>834</v>
      </c>
      <c r="D304">
        <v>7</v>
      </c>
      <c r="E304" t="s">
        <v>28</v>
      </c>
    </row>
    <row r="305" spans="1:5" x14ac:dyDescent="0.25">
      <c r="A305" s="1">
        <v>46043</v>
      </c>
      <c r="B305" t="s">
        <v>829</v>
      </c>
      <c r="C305" t="s">
        <v>830</v>
      </c>
      <c r="D305">
        <v>8</v>
      </c>
      <c r="E305" t="s">
        <v>126</v>
      </c>
    </row>
    <row r="306" spans="1:5" x14ac:dyDescent="0.25">
      <c r="A306" s="1">
        <v>46043</v>
      </c>
      <c r="B306" t="s">
        <v>831</v>
      </c>
      <c r="C306" t="s">
        <v>832</v>
      </c>
      <c r="D306">
        <v>4</v>
      </c>
      <c r="E306" t="s">
        <v>126</v>
      </c>
    </row>
    <row r="307" spans="1:5" x14ac:dyDescent="0.25">
      <c r="A307" s="1">
        <v>46043</v>
      </c>
      <c r="B307" t="s">
        <v>833</v>
      </c>
      <c r="C307" t="s">
        <v>834</v>
      </c>
      <c r="D307">
        <v>5</v>
      </c>
      <c r="E307" t="s">
        <v>126</v>
      </c>
    </row>
    <row r="308" spans="1:5" x14ac:dyDescent="0.25">
      <c r="A308" s="1">
        <v>46043</v>
      </c>
      <c r="B308" t="s">
        <v>829</v>
      </c>
      <c r="C308" t="s">
        <v>830</v>
      </c>
      <c r="D308">
        <v>5</v>
      </c>
      <c r="E308" t="s">
        <v>48</v>
      </c>
    </row>
    <row r="309" spans="1:5" x14ac:dyDescent="0.25">
      <c r="A309" s="1">
        <v>46043</v>
      </c>
      <c r="B309" t="s">
        <v>831</v>
      </c>
      <c r="C309" t="s">
        <v>832</v>
      </c>
      <c r="D309">
        <v>7</v>
      </c>
      <c r="E309" t="s">
        <v>48</v>
      </c>
    </row>
    <row r="310" spans="1:5" x14ac:dyDescent="0.25">
      <c r="A310" s="1">
        <v>46043</v>
      </c>
      <c r="B310" t="s">
        <v>833</v>
      </c>
      <c r="C310" t="s">
        <v>834</v>
      </c>
      <c r="D310">
        <v>5</v>
      </c>
      <c r="E310" t="s">
        <v>48</v>
      </c>
    </row>
    <row r="311" spans="1:5" x14ac:dyDescent="0.25">
      <c r="A311" s="1">
        <v>46043</v>
      </c>
      <c r="B311" t="s">
        <v>829</v>
      </c>
      <c r="C311" t="s">
        <v>830</v>
      </c>
      <c r="D311">
        <v>4</v>
      </c>
      <c r="E311" t="s">
        <v>21</v>
      </c>
    </row>
    <row r="312" spans="1:5" x14ac:dyDescent="0.25">
      <c r="A312" s="1">
        <v>46043</v>
      </c>
      <c r="B312" t="s">
        <v>831</v>
      </c>
      <c r="C312" t="s">
        <v>832</v>
      </c>
      <c r="D312">
        <v>6</v>
      </c>
      <c r="E312" t="s">
        <v>21</v>
      </c>
    </row>
    <row r="313" spans="1:5" x14ac:dyDescent="0.25">
      <c r="A313" s="1">
        <v>46043</v>
      </c>
      <c r="B313" t="s">
        <v>833</v>
      </c>
      <c r="C313" t="s">
        <v>834</v>
      </c>
      <c r="D313">
        <v>2</v>
      </c>
      <c r="E313" t="s">
        <v>21</v>
      </c>
    </row>
    <row r="314" spans="1:5" x14ac:dyDescent="0.25">
      <c r="A314" s="1">
        <v>46043</v>
      </c>
      <c r="B314" t="s">
        <v>829</v>
      </c>
      <c r="C314" t="s">
        <v>830</v>
      </c>
      <c r="D314">
        <v>11</v>
      </c>
      <c r="E314" t="s">
        <v>58</v>
      </c>
    </row>
    <row r="315" spans="1:5" x14ac:dyDescent="0.25">
      <c r="A315" s="1">
        <v>46043</v>
      </c>
      <c r="B315" t="s">
        <v>831</v>
      </c>
      <c r="C315" t="s">
        <v>832</v>
      </c>
      <c r="D315">
        <v>4</v>
      </c>
      <c r="E315" t="s">
        <v>58</v>
      </c>
    </row>
    <row r="316" spans="1:5" x14ac:dyDescent="0.25">
      <c r="A316" s="1">
        <v>46043</v>
      </c>
      <c r="B316" t="s">
        <v>833</v>
      </c>
      <c r="C316" t="s">
        <v>834</v>
      </c>
      <c r="D316">
        <v>2</v>
      </c>
      <c r="E316" t="s">
        <v>58</v>
      </c>
    </row>
    <row r="317" spans="1:5" x14ac:dyDescent="0.25">
      <c r="A317" s="1">
        <v>46044</v>
      </c>
      <c r="B317" t="s">
        <v>829</v>
      </c>
      <c r="C317" t="s">
        <v>830</v>
      </c>
      <c r="D317">
        <v>6</v>
      </c>
      <c r="E317" t="s">
        <v>28</v>
      </c>
    </row>
    <row r="318" spans="1:5" x14ac:dyDescent="0.25">
      <c r="A318" s="1">
        <v>46044</v>
      </c>
      <c r="B318" t="s">
        <v>831</v>
      </c>
      <c r="C318" t="s">
        <v>832</v>
      </c>
      <c r="D318">
        <v>11</v>
      </c>
      <c r="E318" t="s">
        <v>28</v>
      </c>
    </row>
    <row r="319" spans="1:5" x14ac:dyDescent="0.25">
      <c r="A319" s="1">
        <v>46044</v>
      </c>
      <c r="B319" t="s">
        <v>833</v>
      </c>
      <c r="C319" t="s">
        <v>834</v>
      </c>
      <c r="D319">
        <v>8</v>
      </c>
      <c r="E319" t="s">
        <v>28</v>
      </c>
    </row>
    <row r="320" spans="1:5" x14ac:dyDescent="0.25">
      <c r="A320" s="1">
        <v>46044</v>
      </c>
      <c r="B320" t="s">
        <v>829</v>
      </c>
      <c r="C320" t="s">
        <v>830</v>
      </c>
      <c r="D320">
        <v>4</v>
      </c>
      <c r="E320" t="s">
        <v>126</v>
      </c>
    </row>
    <row r="321" spans="1:5" x14ac:dyDescent="0.25">
      <c r="A321" s="1">
        <v>46044</v>
      </c>
      <c r="B321" t="s">
        <v>831</v>
      </c>
      <c r="C321" t="s">
        <v>832</v>
      </c>
      <c r="D321">
        <v>7</v>
      </c>
      <c r="E321" t="s">
        <v>126</v>
      </c>
    </row>
    <row r="322" spans="1:5" x14ac:dyDescent="0.25">
      <c r="A322" s="1">
        <v>46044</v>
      </c>
      <c r="B322" t="s">
        <v>833</v>
      </c>
      <c r="C322" t="s">
        <v>834</v>
      </c>
      <c r="D322">
        <v>1</v>
      </c>
      <c r="E322" t="s">
        <v>126</v>
      </c>
    </row>
    <row r="323" spans="1:5" x14ac:dyDescent="0.25">
      <c r="A323" s="1">
        <v>46044</v>
      </c>
      <c r="B323" t="s">
        <v>829</v>
      </c>
      <c r="C323" t="s">
        <v>830</v>
      </c>
      <c r="D323">
        <v>6</v>
      </c>
      <c r="E323" t="s">
        <v>48</v>
      </c>
    </row>
    <row r="324" spans="1:5" x14ac:dyDescent="0.25">
      <c r="A324" s="1">
        <v>46044</v>
      </c>
      <c r="B324" t="s">
        <v>831</v>
      </c>
      <c r="C324" t="s">
        <v>832</v>
      </c>
      <c r="D324">
        <v>7</v>
      </c>
      <c r="E324" t="s">
        <v>48</v>
      </c>
    </row>
    <row r="325" spans="1:5" x14ac:dyDescent="0.25">
      <c r="A325" s="1">
        <v>46044</v>
      </c>
      <c r="B325" t="s">
        <v>833</v>
      </c>
      <c r="C325" t="s">
        <v>834</v>
      </c>
      <c r="D325">
        <v>5</v>
      </c>
      <c r="E325" t="s">
        <v>48</v>
      </c>
    </row>
    <row r="326" spans="1:5" x14ac:dyDescent="0.25">
      <c r="A326" s="1">
        <v>46044</v>
      </c>
      <c r="B326" t="s">
        <v>829</v>
      </c>
      <c r="C326" t="s">
        <v>830</v>
      </c>
      <c r="D326">
        <v>8</v>
      </c>
      <c r="E326" t="s">
        <v>21</v>
      </c>
    </row>
    <row r="327" spans="1:5" x14ac:dyDescent="0.25">
      <c r="A327" s="1">
        <v>46044</v>
      </c>
      <c r="B327" t="s">
        <v>831</v>
      </c>
      <c r="C327" t="s">
        <v>832</v>
      </c>
      <c r="D327">
        <v>6</v>
      </c>
      <c r="E327" t="s">
        <v>21</v>
      </c>
    </row>
    <row r="328" spans="1:5" x14ac:dyDescent="0.25">
      <c r="A328" s="1">
        <v>46044</v>
      </c>
      <c r="B328" t="s">
        <v>833</v>
      </c>
      <c r="C328" t="s">
        <v>834</v>
      </c>
      <c r="D328">
        <v>1</v>
      </c>
      <c r="E328" t="s">
        <v>21</v>
      </c>
    </row>
    <row r="329" spans="1:5" x14ac:dyDescent="0.25">
      <c r="A329" s="1">
        <v>46044</v>
      </c>
      <c r="B329" t="s">
        <v>829</v>
      </c>
      <c r="C329" t="s">
        <v>830</v>
      </c>
      <c r="D329">
        <v>11</v>
      </c>
      <c r="E329" t="s">
        <v>58</v>
      </c>
    </row>
    <row r="330" spans="1:5" x14ac:dyDescent="0.25">
      <c r="A330" s="1">
        <v>46044</v>
      </c>
      <c r="B330" t="s">
        <v>831</v>
      </c>
      <c r="C330" t="s">
        <v>832</v>
      </c>
      <c r="D330">
        <v>4</v>
      </c>
      <c r="E330" t="s">
        <v>58</v>
      </c>
    </row>
    <row r="331" spans="1:5" x14ac:dyDescent="0.25">
      <c r="A331" s="1">
        <v>46044</v>
      </c>
      <c r="B331" t="s">
        <v>833</v>
      </c>
      <c r="C331" t="s">
        <v>834</v>
      </c>
      <c r="D331">
        <v>2</v>
      </c>
      <c r="E331" t="s">
        <v>58</v>
      </c>
    </row>
    <row r="332" spans="1:5" x14ac:dyDescent="0.25">
      <c r="A332" s="1">
        <v>46045</v>
      </c>
      <c r="B332" t="s">
        <v>829</v>
      </c>
      <c r="C332" t="s">
        <v>830</v>
      </c>
      <c r="D332">
        <v>7</v>
      </c>
      <c r="E332" t="s">
        <v>28</v>
      </c>
    </row>
    <row r="333" spans="1:5" x14ac:dyDescent="0.25">
      <c r="A333" s="1">
        <v>46045</v>
      </c>
      <c r="B333" t="s">
        <v>831</v>
      </c>
      <c r="C333" t="s">
        <v>832</v>
      </c>
      <c r="D333">
        <v>8</v>
      </c>
      <c r="E333" t="s">
        <v>28</v>
      </c>
    </row>
    <row r="334" spans="1:5" x14ac:dyDescent="0.25">
      <c r="A334" s="1">
        <v>46045</v>
      </c>
      <c r="B334" t="s">
        <v>833</v>
      </c>
      <c r="C334" t="s">
        <v>834</v>
      </c>
      <c r="D334">
        <v>4</v>
      </c>
      <c r="E334" t="s">
        <v>28</v>
      </c>
    </row>
    <row r="335" spans="1:5" x14ac:dyDescent="0.25">
      <c r="A335" s="1">
        <v>46045</v>
      </c>
      <c r="B335" t="s">
        <v>829</v>
      </c>
      <c r="C335" t="s">
        <v>830</v>
      </c>
      <c r="D335">
        <v>8</v>
      </c>
      <c r="E335" t="s">
        <v>126</v>
      </c>
    </row>
    <row r="336" spans="1:5" x14ac:dyDescent="0.25">
      <c r="A336" s="1">
        <v>46045</v>
      </c>
      <c r="B336" t="s">
        <v>831</v>
      </c>
      <c r="C336" t="s">
        <v>832</v>
      </c>
      <c r="D336">
        <v>6</v>
      </c>
      <c r="E336" t="s">
        <v>126</v>
      </c>
    </row>
    <row r="337" spans="1:5" x14ac:dyDescent="0.25">
      <c r="A337" s="1">
        <v>46045</v>
      </c>
      <c r="B337" t="s">
        <v>833</v>
      </c>
      <c r="C337" t="s">
        <v>834</v>
      </c>
      <c r="D337">
        <v>5</v>
      </c>
      <c r="E337" t="s">
        <v>126</v>
      </c>
    </row>
    <row r="338" spans="1:5" x14ac:dyDescent="0.25">
      <c r="A338" s="1">
        <v>46045</v>
      </c>
      <c r="B338" t="s">
        <v>829</v>
      </c>
      <c r="C338" t="s">
        <v>830</v>
      </c>
      <c r="D338">
        <v>4</v>
      </c>
      <c r="E338" t="s">
        <v>48</v>
      </c>
    </row>
    <row r="339" spans="1:5" x14ac:dyDescent="0.25">
      <c r="A339" s="1">
        <v>46045</v>
      </c>
      <c r="B339" t="s">
        <v>831</v>
      </c>
      <c r="C339" t="s">
        <v>832</v>
      </c>
      <c r="D339">
        <v>3</v>
      </c>
      <c r="E339" t="s">
        <v>48</v>
      </c>
    </row>
    <row r="340" spans="1:5" x14ac:dyDescent="0.25">
      <c r="A340" s="1">
        <v>46045</v>
      </c>
      <c r="B340" t="s">
        <v>833</v>
      </c>
      <c r="C340" t="s">
        <v>834</v>
      </c>
      <c r="D340">
        <v>4</v>
      </c>
      <c r="E340" t="s">
        <v>48</v>
      </c>
    </row>
    <row r="341" spans="1:5" x14ac:dyDescent="0.25">
      <c r="A341" s="1">
        <v>46045</v>
      </c>
      <c r="B341" t="s">
        <v>829</v>
      </c>
      <c r="C341" t="s">
        <v>830</v>
      </c>
      <c r="D341">
        <v>6</v>
      </c>
      <c r="E341" t="s">
        <v>21</v>
      </c>
    </row>
    <row r="342" spans="1:5" x14ac:dyDescent="0.25">
      <c r="A342" s="1">
        <v>46045</v>
      </c>
      <c r="B342" t="s">
        <v>831</v>
      </c>
      <c r="C342" t="s">
        <v>832</v>
      </c>
      <c r="D342">
        <v>7</v>
      </c>
      <c r="E342" t="s">
        <v>21</v>
      </c>
    </row>
    <row r="343" spans="1:5" x14ac:dyDescent="0.25">
      <c r="A343" s="1">
        <v>46045</v>
      </c>
      <c r="B343" t="s">
        <v>833</v>
      </c>
      <c r="C343" t="s">
        <v>834</v>
      </c>
      <c r="D343">
        <v>5</v>
      </c>
      <c r="E343" t="s">
        <v>21</v>
      </c>
    </row>
    <row r="344" spans="1:5" x14ac:dyDescent="0.25">
      <c r="A344" s="1">
        <v>46045</v>
      </c>
      <c r="B344" t="s">
        <v>829</v>
      </c>
      <c r="C344" t="s">
        <v>830</v>
      </c>
      <c r="D344">
        <v>11</v>
      </c>
      <c r="E344" t="s">
        <v>58</v>
      </c>
    </row>
    <row r="345" spans="1:5" x14ac:dyDescent="0.25">
      <c r="A345" s="1">
        <v>46045</v>
      </c>
      <c r="B345" t="s">
        <v>831</v>
      </c>
      <c r="C345" t="s">
        <v>832</v>
      </c>
      <c r="D345">
        <v>8</v>
      </c>
      <c r="E345" t="s">
        <v>58</v>
      </c>
    </row>
    <row r="346" spans="1:5" x14ac:dyDescent="0.25">
      <c r="A346" s="1">
        <v>46045</v>
      </c>
      <c r="B346" t="s">
        <v>833</v>
      </c>
      <c r="C346" t="s">
        <v>834</v>
      </c>
      <c r="D346">
        <v>2</v>
      </c>
      <c r="E346" t="s">
        <v>58</v>
      </c>
    </row>
    <row r="347" spans="1:5" x14ac:dyDescent="0.25">
      <c r="A347" s="1">
        <v>46046</v>
      </c>
      <c r="B347" t="s">
        <v>829</v>
      </c>
      <c r="C347" t="s">
        <v>830</v>
      </c>
      <c r="D347">
        <v>7</v>
      </c>
      <c r="E347" t="s">
        <v>28</v>
      </c>
    </row>
    <row r="348" spans="1:5" x14ac:dyDescent="0.25">
      <c r="A348" s="1">
        <v>46046</v>
      </c>
      <c r="B348" t="s">
        <v>831</v>
      </c>
      <c r="C348" t="s">
        <v>832</v>
      </c>
      <c r="D348">
        <v>11</v>
      </c>
      <c r="E348" t="s">
        <v>28</v>
      </c>
    </row>
    <row r="349" spans="1:5" x14ac:dyDescent="0.25">
      <c r="A349" s="1">
        <v>46046</v>
      </c>
      <c r="B349" t="s">
        <v>833</v>
      </c>
      <c r="C349" t="s">
        <v>834</v>
      </c>
      <c r="D349">
        <v>7</v>
      </c>
      <c r="E349" t="s">
        <v>28</v>
      </c>
    </row>
    <row r="350" spans="1:5" x14ac:dyDescent="0.25">
      <c r="A350" s="1">
        <v>46046</v>
      </c>
      <c r="B350" t="s">
        <v>829</v>
      </c>
      <c r="C350" t="s">
        <v>830</v>
      </c>
      <c r="D350">
        <v>6</v>
      </c>
      <c r="E350" t="s">
        <v>126</v>
      </c>
    </row>
    <row r="351" spans="1:5" x14ac:dyDescent="0.25">
      <c r="A351" s="1">
        <v>46046</v>
      </c>
      <c r="B351" t="s">
        <v>831</v>
      </c>
      <c r="C351" t="s">
        <v>832</v>
      </c>
      <c r="D351">
        <v>6</v>
      </c>
      <c r="E351" t="s">
        <v>126</v>
      </c>
    </row>
    <row r="352" spans="1:5" x14ac:dyDescent="0.25">
      <c r="A352" s="1">
        <v>46046</v>
      </c>
      <c r="B352" t="s">
        <v>833</v>
      </c>
      <c r="C352" t="s">
        <v>834</v>
      </c>
      <c r="D352">
        <v>1</v>
      </c>
      <c r="E352" t="s">
        <v>126</v>
      </c>
    </row>
    <row r="353" spans="1:5" x14ac:dyDescent="0.25">
      <c r="A353" s="1">
        <v>46046</v>
      </c>
      <c r="B353" t="s">
        <v>829</v>
      </c>
      <c r="C353" t="s">
        <v>830</v>
      </c>
      <c r="D353">
        <v>7</v>
      </c>
      <c r="E353" t="s">
        <v>48</v>
      </c>
    </row>
    <row r="354" spans="1:5" x14ac:dyDescent="0.25">
      <c r="A354" s="1">
        <v>46046</v>
      </c>
      <c r="B354" t="s">
        <v>831</v>
      </c>
      <c r="C354" t="s">
        <v>832</v>
      </c>
      <c r="D354">
        <v>4</v>
      </c>
      <c r="E354" t="s">
        <v>48</v>
      </c>
    </row>
    <row r="355" spans="1:5" x14ac:dyDescent="0.25">
      <c r="A355" s="1">
        <v>46046</v>
      </c>
      <c r="B355" t="s">
        <v>833</v>
      </c>
      <c r="C355" t="s">
        <v>834</v>
      </c>
      <c r="D355">
        <v>4</v>
      </c>
      <c r="E355" t="s">
        <v>48</v>
      </c>
    </row>
    <row r="356" spans="1:5" x14ac:dyDescent="0.25">
      <c r="A356" s="1">
        <v>46046</v>
      </c>
      <c r="B356" t="s">
        <v>829</v>
      </c>
      <c r="C356" t="s">
        <v>830</v>
      </c>
      <c r="D356">
        <v>4</v>
      </c>
      <c r="E356" t="s">
        <v>21</v>
      </c>
    </row>
    <row r="357" spans="1:5" x14ac:dyDescent="0.25">
      <c r="A357" s="1">
        <v>46046</v>
      </c>
      <c r="B357" t="s">
        <v>831</v>
      </c>
      <c r="C357" t="s">
        <v>832</v>
      </c>
      <c r="D357">
        <v>5</v>
      </c>
      <c r="E357" t="s">
        <v>21</v>
      </c>
    </row>
    <row r="358" spans="1:5" x14ac:dyDescent="0.25">
      <c r="A358" s="1">
        <v>46046</v>
      </c>
      <c r="B358" t="s">
        <v>833</v>
      </c>
      <c r="C358" t="s">
        <v>834</v>
      </c>
      <c r="D358">
        <v>1</v>
      </c>
      <c r="E358" t="s">
        <v>21</v>
      </c>
    </row>
    <row r="359" spans="1:5" x14ac:dyDescent="0.25">
      <c r="A359" s="1">
        <v>46046</v>
      </c>
      <c r="B359" t="s">
        <v>829</v>
      </c>
      <c r="C359" t="s">
        <v>830</v>
      </c>
      <c r="D359">
        <v>9</v>
      </c>
      <c r="E359" t="s">
        <v>58</v>
      </c>
    </row>
    <row r="360" spans="1:5" x14ac:dyDescent="0.25">
      <c r="A360" s="1">
        <v>46046</v>
      </c>
      <c r="B360" t="s">
        <v>831</v>
      </c>
      <c r="C360" t="s">
        <v>832</v>
      </c>
      <c r="D360">
        <v>3</v>
      </c>
      <c r="E360" t="s">
        <v>58</v>
      </c>
    </row>
    <row r="361" spans="1:5" x14ac:dyDescent="0.25">
      <c r="A361" s="1">
        <v>46046</v>
      </c>
      <c r="B361" t="s">
        <v>833</v>
      </c>
      <c r="C361" t="s">
        <v>834</v>
      </c>
      <c r="D361">
        <v>3</v>
      </c>
      <c r="E361" t="s">
        <v>58</v>
      </c>
    </row>
    <row r="362" spans="1:5" x14ac:dyDescent="0.25">
      <c r="A362" s="1">
        <v>46047</v>
      </c>
      <c r="B362" t="s">
        <v>829</v>
      </c>
      <c r="C362" t="s">
        <v>830</v>
      </c>
      <c r="D362">
        <v>6</v>
      </c>
      <c r="E362" t="s">
        <v>28</v>
      </c>
    </row>
    <row r="363" spans="1:5" x14ac:dyDescent="0.25">
      <c r="A363" s="1">
        <v>46047</v>
      </c>
      <c r="B363" t="s">
        <v>831</v>
      </c>
      <c r="C363" t="s">
        <v>832</v>
      </c>
      <c r="D363">
        <v>7</v>
      </c>
      <c r="E363" t="s">
        <v>28</v>
      </c>
    </row>
    <row r="364" spans="1:5" x14ac:dyDescent="0.25">
      <c r="A364" s="1">
        <v>46047</v>
      </c>
      <c r="B364" t="s">
        <v>833</v>
      </c>
      <c r="C364" t="s">
        <v>834</v>
      </c>
      <c r="D364">
        <v>4</v>
      </c>
      <c r="E364" t="s">
        <v>28</v>
      </c>
    </row>
    <row r="365" spans="1:5" x14ac:dyDescent="0.25">
      <c r="A365" s="1">
        <v>46047</v>
      </c>
      <c r="B365" t="s">
        <v>829</v>
      </c>
      <c r="C365" t="s">
        <v>830</v>
      </c>
      <c r="D365">
        <v>6</v>
      </c>
      <c r="E365" t="s">
        <v>126</v>
      </c>
    </row>
    <row r="366" spans="1:5" x14ac:dyDescent="0.25">
      <c r="A366" s="1">
        <v>46047</v>
      </c>
      <c r="B366" t="s">
        <v>831</v>
      </c>
      <c r="C366" t="s">
        <v>832</v>
      </c>
      <c r="D366">
        <v>2</v>
      </c>
      <c r="E366" t="s">
        <v>126</v>
      </c>
    </row>
    <row r="367" spans="1:5" x14ac:dyDescent="0.25">
      <c r="A367" s="1">
        <v>46047</v>
      </c>
      <c r="B367" t="s">
        <v>833</v>
      </c>
      <c r="C367" t="s">
        <v>834</v>
      </c>
      <c r="D367">
        <v>1</v>
      </c>
      <c r="E367" t="s">
        <v>126</v>
      </c>
    </row>
    <row r="368" spans="1:5" x14ac:dyDescent="0.25">
      <c r="A368" s="1">
        <v>46047</v>
      </c>
      <c r="B368" t="s">
        <v>829</v>
      </c>
      <c r="C368" t="s">
        <v>830</v>
      </c>
      <c r="D368">
        <v>5</v>
      </c>
      <c r="E368" t="s">
        <v>48</v>
      </c>
    </row>
    <row r="369" spans="1:5" x14ac:dyDescent="0.25">
      <c r="A369" s="1">
        <v>46047</v>
      </c>
      <c r="B369" t="s">
        <v>831</v>
      </c>
      <c r="C369" t="s">
        <v>832</v>
      </c>
      <c r="D369">
        <v>2</v>
      </c>
      <c r="E369" t="s">
        <v>48</v>
      </c>
    </row>
    <row r="370" spans="1:5" x14ac:dyDescent="0.25">
      <c r="A370" s="1">
        <v>46047</v>
      </c>
      <c r="B370" t="s">
        <v>833</v>
      </c>
      <c r="C370" t="s">
        <v>834</v>
      </c>
      <c r="D370">
        <v>1</v>
      </c>
      <c r="E370" t="s">
        <v>48</v>
      </c>
    </row>
    <row r="371" spans="1:5" x14ac:dyDescent="0.25">
      <c r="A371" s="1">
        <v>46047</v>
      </c>
      <c r="B371" t="s">
        <v>829</v>
      </c>
      <c r="C371" t="s">
        <v>830</v>
      </c>
      <c r="D371">
        <v>5</v>
      </c>
      <c r="E371" t="s">
        <v>21</v>
      </c>
    </row>
    <row r="372" spans="1:5" x14ac:dyDescent="0.25">
      <c r="A372" s="1">
        <v>46047</v>
      </c>
      <c r="B372" t="s">
        <v>831</v>
      </c>
      <c r="C372" t="s">
        <v>832</v>
      </c>
      <c r="D372">
        <v>3</v>
      </c>
      <c r="E372" t="s">
        <v>21</v>
      </c>
    </row>
    <row r="373" spans="1:5" x14ac:dyDescent="0.25">
      <c r="A373" s="1">
        <v>46047</v>
      </c>
      <c r="B373" t="s">
        <v>833</v>
      </c>
      <c r="C373" t="s">
        <v>834</v>
      </c>
      <c r="D373">
        <v>2</v>
      </c>
      <c r="E373" t="s">
        <v>21</v>
      </c>
    </row>
    <row r="374" spans="1:5" x14ac:dyDescent="0.25">
      <c r="A374" s="1">
        <v>46047</v>
      </c>
      <c r="B374" t="s">
        <v>829</v>
      </c>
      <c r="C374" t="s">
        <v>830</v>
      </c>
      <c r="D374">
        <v>7</v>
      </c>
      <c r="E374" t="s">
        <v>58</v>
      </c>
    </row>
    <row r="375" spans="1:5" x14ac:dyDescent="0.25">
      <c r="A375" s="1">
        <v>46047</v>
      </c>
      <c r="B375" t="s">
        <v>831</v>
      </c>
      <c r="C375" t="s">
        <v>832</v>
      </c>
      <c r="D375">
        <v>6</v>
      </c>
      <c r="E375" t="s">
        <v>58</v>
      </c>
    </row>
    <row r="376" spans="1:5" x14ac:dyDescent="0.25">
      <c r="A376" s="1">
        <v>46047</v>
      </c>
      <c r="B376" t="s">
        <v>833</v>
      </c>
      <c r="C376" t="s">
        <v>834</v>
      </c>
      <c r="D376">
        <v>1</v>
      </c>
      <c r="E376" t="s">
        <v>58</v>
      </c>
    </row>
    <row r="377" spans="1:5" x14ac:dyDescent="0.25">
      <c r="A377" s="1">
        <v>46048</v>
      </c>
      <c r="B377" t="s">
        <v>829</v>
      </c>
      <c r="C377" t="s">
        <v>830</v>
      </c>
      <c r="D377">
        <v>8</v>
      </c>
      <c r="E377" t="s">
        <v>28</v>
      </c>
    </row>
    <row r="378" spans="1:5" x14ac:dyDescent="0.25">
      <c r="A378" s="1">
        <v>46048</v>
      </c>
      <c r="B378" t="s">
        <v>831</v>
      </c>
      <c r="C378" t="s">
        <v>832</v>
      </c>
      <c r="D378">
        <v>11</v>
      </c>
      <c r="E378" t="s">
        <v>28</v>
      </c>
    </row>
    <row r="379" spans="1:5" x14ac:dyDescent="0.25">
      <c r="A379" s="1">
        <v>46048</v>
      </c>
      <c r="B379" t="s">
        <v>833</v>
      </c>
      <c r="C379" t="s">
        <v>834</v>
      </c>
      <c r="D379">
        <v>5</v>
      </c>
      <c r="E379" t="s">
        <v>28</v>
      </c>
    </row>
    <row r="380" spans="1:5" x14ac:dyDescent="0.25">
      <c r="A380" s="1">
        <v>46048</v>
      </c>
      <c r="B380" t="s">
        <v>829</v>
      </c>
      <c r="C380" t="s">
        <v>830</v>
      </c>
      <c r="D380">
        <v>5</v>
      </c>
      <c r="E380" t="s">
        <v>126</v>
      </c>
    </row>
    <row r="381" spans="1:5" x14ac:dyDescent="0.25">
      <c r="A381" s="1">
        <v>46048</v>
      </c>
      <c r="B381" t="s">
        <v>831</v>
      </c>
      <c r="C381" t="s">
        <v>832</v>
      </c>
      <c r="D381">
        <v>4</v>
      </c>
      <c r="E381" t="s">
        <v>126</v>
      </c>
    </row>
    <row r="382" spans="1:5" x14ac:dyDescent="0.25">
      <c r="A382" s="1">
        <v>46048</v>
      </c>
      <c r="B382" t="s">
        <v>833</v>
      </c>
      <c r="C382" t="s">
        <v>834</v>
      </c>
      <c r="D382">
        <v>4</v>
      </c>
      <c r="E382" t="s">
        <v>126</v>
      </c>
    </row>
    <row r="383" spans="1:5" x14ac:dyDescent="0.25">
      <c r="A383" s="1">
        <v>46048</v>
      </c>
      <c r="B383" t="s">
        <v>829</v>
      </c>
      <c r="C383" t="s">
        <v>830</v>
      </c>
      <c r="D383">
        <v>8</v>
      </c>
      <c r="E383" t="s">
        <v>48</v>
      </c>
    </row>
    <row r="384" spans="1:5" x14ac:dyDescent="0.25">
      <c r="A384" s="1">
        <v>46048</v>
      </c>
      <c r="B384" t="s">
        <v>831</v>
      </c>
      <c r="C384" t="s">
        <v>832</v>
      </c>
      <c r="D384">
        <v>6</v>
      </c>
      <c r="E384" t="s">
        <v>48</v>
      </c>
    </row>
    <row r="385" spans="1:5" x14ac:dyDescent="0.25">
      <c r="A385" s="1">
        <v>46048</v>
      </c>
      <c r="B385" t="s">
        <v>833</v>
      </c>
      <c r="C385" t="s">
        <v>834</v>
      </c>
      <c r="D385">
        <v>3</v>
      </c>
      <c r="E385" t="s">
        <v>48</v>
      </c>
    </row>
    <row r="386" spans="1:5" x14ac:dyDescent="0.25">
      <c r="A386" s="1">
        <v>46048</v>
      </c>
      <c r="B386" t="s">
        <v>829</v>
      </c>
      <c r="C386" t="s">
        <v>830</v>
      </c>
      <c r="D386">
        <v>7</v>
      </c>
      <c r="E386" t="s">
        <v>21</v>
      </c>
    </row>
    <row r="387" spans="1:5" x14ac:dyDescent="0.25">
      <c r="A387" s="1">
        <v>46048</v>
      </c>
      <c r="B387" t="s">
        <v>831</v>
      </c>
      <c r="C387" t="s">
        <v>832</v>
      </c>
      <c r="D387">
        <v>4</v>
      </c>
      <c r="E387" t="s">
        <v>21</v>
      </c>
    </row>
    <row r="388" spans="1:5" x14ac:dyDescent="0.25">
      <c r="A388" s="1">
        <v>46048</v>
      </c>
      <c r="B388" t="s">
        <v>833</v>
      </c>
      <c r="C388" t="s">
        <v>834</v>
      </c>
      <c r="D388">
        <v>3</v>
      </c>
      <c r="E388" t="s">
        <v>21</v>
      </c>
    </row>
    <row r="389" spans="1:5" x14ac:dyDescent="0.25">
      <c r="A389" s="1">
        <v>46048</v>
      </c>
      <c r="B389" t="s">
        <v>829</v>
      </c>
      <c r="C389" t="s">
        <v>830</v>
      </c>
      <c r="D389">
        <v>9</v>
      </c>
      <c r="E389" t="s">
        <v>58</v>
      </c>
    </row>
    <row r="390" spans="1:5" x14ac:dyDescent="0.25">
      <c r="A390" s="1">
        <v>46048</v>
      </c>
      <c r="B390" t="s">
        <v>831</v>
      </c>
      <c r="C390" t="s">
        <v>832</v>
      </c>
      <c r="D390">
        <v>4</v>
      </c>
      <c r="E390" t="s">
        <v>58</v>
      </c>
    </row>
    <row r="391" spans="1:5" x14ac:dyDescent="0.25">
      <c r="A391" s="1">
        <v>46048</v>
      </c>
      <c r="B391" t="s">
        <v>833</v>
      </c>
      <c r="C391" t="s">
        <v>834</v>
      </c>
      <c r="D391">
        <v>3</v>
      </c>
      <c r="E391" t="s">
        <v>58</v>
      </c>
    </row>
    <row r="392" spans="1:5" x14ac:dyDescent="0.25">
      <c r="A392" s="1">
        <v>46049</v>
      </c>
      <c r="B392" t="s">
        <v>829</v>
      </c>
      <c r="C392" t="s">
        <v>830</v>
      </c>
      <c r="D392">
        <v>7</v>
      </c>
      <c r="E392" t="s">
        <v>28</v>
      </c>
    </row>
    <row r="393" spans="1:5" x14ac:dyDescent="0.25">
      <c r="A393" s="1">
        <v>46049</v>
      </c>
      <c r="B393" t="s">
        <v>831</v>
      </c>
      <c r="C393" t="s">
        <v>832</v>
      </c>
      <c r="D393">
        <v>12</v>
      </c>
      <c r="E393" t="s">
        <v>28</v>
      </c>
    </row>
    <row r="394" spans="1:5" x14ac:dyDescent="0.25">
      <c r="A394" s="1">
        <v>46049</v>
      </c>
      <c r="B394" t="s">
        <v>833</v>
      </c>
      <c r="C394" t="s">
        <v>834</v>
      </c>
      <c r="D394">
        <v>7</v>
      </c>
      <c r="E394" t="s">
        <v>28</v>
      </c>
    </row>
    <row r="395" spans="1:5" x14ac:dyDescent="0.25">
      <c r="A395" s="1">
        <v>46049</v>
      </c>
      <c r="B395" t="s">
        <v>829</v>
      </c>
      <c r="C395" t="s">
        <v>830</v>
      </c>
      <c r="D395">
        <v>7</v>
      </c>
      <c r="E395" t="s">
        <v>126</v>
      </c>
    </row>
    <row r="396" spans="1:5" x14ac:dyDescent="0.25">
      <c r="A396" s="1">
        <v>46049</v>
      </c>
      <c r="B396" t="s">
        <v>831</v>
      </c>
      <c r="C396" t="s">
        <v>832</v>
      </c>
      <c r="D396">
        <v>3</v>
      </c>
      <c r="E396" t="s">
        <v>126</v>
      </c>
    </row>
    <row r="397" spans="1:5" x14ac:dyDescent="0.25">
      <c r="A397" s="1">
        <v>46049</v>
      </c>
      <c r="B397" t="s">
        <v>833</v>
      </c>
      <c r="C397" t="s">
        <v>834</v>
      </c>
      <c r="D397">
        <v>4</v>
      </c>
      <c r="E397" t="s">
        <v>126</v>
      </c>
    </row>
    <row r="398" spans="1:5" x14ac:dyDescent="0.25">
      <c r="A398" s="1">
        <v>46049</v>
      </c>
      <c r="B398" t="s">
        <v>829</v>
      </c>
      <c r="C398" t="s">
        <v>830</v>
      </c>
      <c r="D398">
        <v>6</v>
      </c>
      <c r="E398" t="s">
        <v>48</v>
      </c>
    </row>
    <row r="399" spans="1:5" x14ac:dyDescent="0.25">
      <c r="A399" s="1">
        <v>46049</v>
      </c>
      <c r="B399" t="s">
        <v>831</v>
      </c>
      <c r="C399" t="s">
        <v>832</v>
      </c>
      <c r="D399">
        <v>7</v>
      </c>
      <c r="E399" t="s">
        <v>48</v>
      </c>
    </row>
    <row r="400" spans="1:5" x14ac:dyDescent="0.25">
      <c r="A400" s="1">
        <v>46049</v>
      </c>
      <c r="B400" t="s">
        <v>833</v>
      </c>
      <c r="C400" t="s">
        <v>834</v>
      </c>
      <c r="D400">
        <v>5</v>
      </c>
      <c r="E400" t="s">
        <v>48</v>
      </c>
    </row>
    <row r="401" spans="1:5" x14ac:dyDescent="0.25">
      <c r="A401" s="1">
        <v>46049</v>
      </c>
      <c r="B401" t="s">
        <v>829</v>
      </c>
      <c r="C401" t="s">
        <v>830</v>
      </c>
      <c r="D401">
        <v>6</v>
      </c>
      <c r="E401" t="s">
        <v>21</v>
      </c>
    </row>
    <row r="402" spans="1:5" x14ac:dyDescent="0.25">
      <c r="A402" s="1">
        <v>46049</v>
      </c>
      <c r="B402" t="s">
        <v>831</v>
      </c>
      <c r="C402" t="s">
        <v>832</v>
      </c>
      <c r="D402">
        <v>7</v>
      </c>
      <c r="E402" t="s">
        <v>21</v>
      </c>
    </row>
    <row r="403" spans="1:5" x14ac:dyDescent="0.25">
      <c r="A403" s="1">
        <v>46049</v>
      </c>
      <c r="B403" t="s">
        <v>833</v>
      </c>
      <c r="C403" t="s">
        <v>834</v>
      </c>
      <c r="D403">
        <v>1</v>
      </c>
      <c r="E403" t="s">
        <v>21</v>
      </c>
    </row>
    <row r="404" spans="1:5" x14ac:dyDescent="0.25">
      <c r="A404" s="1">
        <v>46049</v>
      </c>
      <c r="B404" t="s">
        <v>829</v>
      </c>
      <c r="C404" t="s">
        <v>830</v>
      </c>
      <c r="D404">
        <v>7</v>
      </c>
      <c r="E404" t="s">
        <v>58</v>
      </c>
    </row>
    <row r="405" spans="1:5" x14ac:dyDescent="0.25">
      <c r="A405" s="1">
        <v>46049</v>
      </c>
      <c r="B405" t="s">
        <v>831</v>
      </c>
      <c r="C405" t="s">
        <v>832</v>
      </c>
      <c r="D405">
        <v>5</v>
      </c>
      <c r="E405" t="s">
        <v>58</v>
      </c>
    </row>
    <row r="406" spans="1:5" x14ac:dyDescent="0.25">
      <c r="A406" s="1">
        <v>46049</v>
      </c>
      <c r="B406" t="s">
        <v>833</v>
      </c>
      <c r="C406" t="s">
        <v>834</v>
      </c>
      <c r="D406">
        <v>1</v>
      </c>
      <c r="E406" t="s">
        <v>58</v>
      </c>
    </row>
    <row r="407" spans="1:5" x14ac:dyDescent="0.25">
      <c r="A407" s="1">
        <v>46050</v>
      </c>
      <c r="B407" t="s">
        <v>829</v>
      </c>
      <c r="C407" t="s">
        <v>830</v>
      </c>
      <c r="D407">
        <v>7</v>
      </c>
      <c r="E407" t="s">
        <v>28</v>
      </c>
    </row>
    <row r="408" spans="1:5" x14ac:dyDescent="0.25">
      <c r="A408" s="1">
        <v>46050</v>
      </c>
      <c r="B408" t="s">
        <v>831</v>
      </c>
      <c r="C408" t="s">
        <v>832</v>
      </c>
      <c r="D408">
        <v>10</v>
      </c>
      <c r="E408" t="s">
        <v>28</v>
      </c>
    </row>
    <row r="409" spans="1:5" x14ac:dyDescent="0.25">
      <c r="A409" s="1">
        <v>46050</v>
      </c>
      <c r="B409" t="s">
        <v>833</v>
      </c>
      <c r="C409" t="s">
        <v>834</v>
      </c>
      <c r="D409">
        <v>4</v>
      </c>
      <c r="E409" t="s">
        <v>28</v>
      </c>
    </row>
    <row r="410" spans="1:5" x14ac:dyDescent="0.25">
      <c r="A410" s="1">
        <v>46050</v>
      </c>
      <c r="B410" t="s">
        <v>829</v>
      </c>
      <c r="C410" t="s">
        <v>830</v>
      </c>
      <c r="D410">
        <v>5</v>
      </c>
      <c r="E410" t="s">
        <v>126</v>
      </c>
    </row>
    <row r="411" spans="1:5" x14ac:dyDescent="0.25">
      <c r="A411" s="1">
        <v>46050</v>
      </c>
      <c r="B411" t="s">
        <v>831</v>
      </c>
      <c r="C411" t="s">
        <v>832</v>
      </c>
      <c r="D411">
        <v>5</v>
      </c>
      <c r="E411" t="s">
        <v>126</v>
      </c>
    </row>
    <row r="412" spans="1:5" x14ac:dyDescent="0.25">
      <c r="A412" s="1">
        <v>46050</v>
      </c>
      <c r="B412" t="s">
        <v>833</v>
      </c>
      <c r="C412" t="s">
        <v>834</v>
      </c>
      <c r="D412">
        <v>2</v>
      </c>
      <c r="E412" t="s">
        <v>126</v>
      </c>
    </row>
    <row r="413" spans="1:5" x14ac:dyDescent="0.25">
      <c r="A413" s="1">
        <v>46050</v>
      </c>
      <c r="B413" t="s">
        <v>829</v>
      </c>
      <c r="C413" t="s">
        <v>830</v>
      </c>
      <c r="D413">
        <v>7</v>
      </c>
      <c r="E413" t="s">
        <v>48</v>
      </c>
    </row>
    <row r="414" spans="1:5" x14ac:dyDescent="0.25">
      <c r="A414" s="1">
        <v>46050</v>
      </c>
      <c r="B414" t="s">
        <v>831</v>
      </c>
      <c r="C414" t="s">
        <v>832</v>
      </c>
      <c r="D414">
        <v>5</v>
      </c>
      <c r="E414" t="s">
        <v>48</v>
      </c>
    </row>
    <row r="415" spans="1:5" x14ac:dyDescent="0.25">
      <c r="A415" s="1">
        <v>46050</v>
      </c>
      <c r="B415" t="s">
        <v>833</v>
      </c>
      <c r="C415" t="s">
        <v>834</v>
      </c>
      <c r="D415">
        <v>4</v>
      </c>
      <c r="E415" t="s">
        <v>48</v>
      </c>
    </row>
    <row r="416" spans="1:5" x14ac:dyDescent="0.25">
      <c r="A416" s="1">
        <v>46050</v>
      </c>
      <c r="B416" t="s">
        <v>829</v>
      </c>
      <c r="C416" t="s">
        <v>830</v>
      </c>
      <c r="D416">
        <v>5</v>
      </c>
      <c r="E416" t="s">
        <v>21</v>
      </c>
    </row>
    <row r="417" spans="1:5" x14ac:dyDescent="0.25">
      <c r="A417" s="1">
        <v>46050</v>
      </c>
      <c r="B417" t="s">
        <v>831</v>
      </c>
      <c r="C417" t="s">
        <v>832</v>
      </c>
      <c r="D417">
        <v>7</v>
      </c>
      <c r="E417" t="s">
        <v>21</v>
      </c>
    </row>
    <row r="418" spans="1:5" x14ac:dyDescent="0.25">
      <c r="A418" s="1">
        <v>46050</v>
      </c>
      <c r="B418" t="s">
        <v>833</v>
      </c>
      <c r="C418" t="s">
        <v>834</v>
      </c>
      <c r="D418">
        <v>5</v>
      </c>
      <c r="E418" t="s">
        <v>21</v>
      </c>
    </row>
    <row r="419" spans="1:5" x14ac:dyDescent="0.25">
      <c r="A419" s="1">
        <v>46050</v>
      </c>
      <c r="B419" t="s">
        <v>829</v>
      </c>
      <c r="C419" t="s">
        <v>830</v>
      </c>
      <c r="D419">
        <v>11</v>
      </c>
      <c r="E419" t="s">
        <v>58</v>
      </c>
    </row>
    <row r="420" spans="1:5" x14ac:dyDescent="0.25">
      <c r="A420" s="1">
        <v>46050</v>
      </c>
      <c r="B420" t="s">
        <v>831</v>
      </c>
      <c r="C420" t="s">
        <v>832</v>
      </c>
      <c r="D420">
        <v>7</v>
      </c>
      <c r="E420" t="s">
        <v>58</v>
      </c>
    </row>
    <row r="421" spans="1:5" x14ac:dyDescent="0.25">
      <c r="A421" s="1">
        <v>46050</v>
      </c>
      <c r="B421" t="s">
        <v>833</v>
      </c>
      <c r="C421" t="s">
        <v>834</v>
      </c>
      <c r="D421">
        <v>3</v>
      </c>
      <c r="E421" t="s">
        <v>58</v>
      </c>
    </row>
    <row r="422" spans="1:5" x14ac:dyDescent="0.25">
      <c r="A422" s="1">
        <v>46051</v>
      </c>
      <c r="B422" t="s">
        <v>829</v>
      </c>
      <c r="C422" t="s">
        <v>830</v>
      </c>
      <c r="D422">
        <v>7</v>
      </c>
      <c r="E422" t="s">
        <v>28</v>
      </c>
    </row>
    <row r="423" spans="1:5" x14ac:dyDescent="0.25">
      <c r="A423" s="1">
        <v>46051</v>
      </c>
      <c r="B423" t="s">
        <v>831</v>
      </c>
      <c r="C423" t="s">
        <v>832</v>
      </c>
      <c r="D423">
        <v>8</v>
      </c>
      <c r="E423" t="s">
        <v>28</v>
      </c>
    </row>
    <row r="424" spans="1:5" x14ac:dyDescent="0.25">
      <c r="A424" s="1">
        <v>46051</v>
      </c>
      <c r="B424" t="s">
        <v>833</v>
      </c>
      <c r="C424" t="s">
        <v>834</v>
      </c>
      <c r="D424">
        <v>5</v>
      </c>
      <c r="E424" t="s">
        <v>28</v>
      </c>
    </row>
    <row r="425" spans="1:5" x14ac:dyDescent="0.25">
      <c r="A425" s="1">
        <v>46051</v>
      </c>
      <c r="B425" t="s">
        <v>829</v>
      </c>
      <c r="C425" t="s">
        <v>830</v>
      </c>
      <c r="D425">
        <v>7</v>
      </c>
      <c r="E425" t="s">
        <v>126</v>
      </c>
    </row>
    <row r="426" spans="1:5" x14ac:dyDescent="0.25">
      <c r="A426" s="1">
        <v>46051</v>
      </c>
      <c r="B426" t="s">
        <v>831</v>
      </c>
      <c r="C426" t="s">
        <v>832</v>
      </c>
      <c r="D426">
        <v>3</v>
      </c>
      <c r="E426" t="s">
        <v>126</v>
      </c>
    </row>
    <row r="427" spans="1:5" x14ac:dyDescent="0.25">
      <c r="A427" s="1">
        <v>46051</v>
      </c>
      <c r="B427" t="s">
        <v>833</v>
      </c>
      <c r="C427" t="s">
        <v>834</v>
      </c>
      <c r="D427">
        <v>3</v>
      </c>
      <c r="E427" t="s">
        <v>126</v>
      </c>
    </row>
    <row r="428" spans="1:5" x14ac:dyDescent="0.25">
      <c r="A428" s="1">
        <v>46051</v>
      </c>
      <c r="B428" t="s">
        <v>829</v>
      </c>
      <c r="C428" t="s">
        <v>830</v>
      </c>
      <c r="D428">
        <v>4</v>
      </c>
      <c r="E428" t="s">
        <v>48</v>
      </c>
    </row>
    <row r="429" spans="1:5" x14ac:dyDescent="0.25">
      <c r="A429" s="1">
        <v>46051</v>
      </c>
      <c r="B429" t="s">
        <v>831</v>
      </c>
      <c r="C429" t="s">
        <v>832</v>
      </c>
      <c r="D429">
        <v>3</v>
      </c>
      <c r="E429" t="s">
        <v>48</v>
      </c>
    </row>
    <row r="430" spans="1:5" x14ac:dyDescent="0.25">
      <c r="A430" s="1">
        <v>46051</v>
      </c>
      <c r="B430" t="s">
        <v>833</v>
      </c>
      <c r="C430" t="s">
        <v>834</v>
      </c>
      <c r="D430">
        <v>3</v>
      </c>
      <c r="E430" t="s">
        <v>48</v>
      </c>
    </row>
    <row r="431" spans="1:5" x14ac:dyDescent="0.25">
      <c r="A431" s="1">
        <v>46051</v>
      </c>
      <c r="B431" t="s">
        <v>829</v>
      </c>
      <c r="C431" t="s">
        <v>830</v>
      </c>
      <c r="D431">
        <v>4</v>
      </c>
      <c r="E431" t="s">
        <v>21</v>
      </c>
    </row>
    <row r="432" spans="1:5" x14ac:dyDescent="0.25">
      <c r="A432" s="1">
        <v>46051</v>
      </c>
      <c r="B432" t="s">
        <v>831</v>
      </c>
      <c r="C432" t="s">
        <v>832</v>
      </c>
      <c r="D432">
        <v>7</v>
      </c>
      <c r="E432" t="s">
        <v>21</v>
      </c>
    </row>
    <row r="433" spans="1:5" x14ac:dyDescent="0.25">
      <c r="A433" s="1">
        <v>46051</v>
      </c>
      <c r="B433" t="s">
        <v>833</v>
      </c>
      <c r="C433" t="s">
        <v>834</v>
      </c>
      <c r="D433">
        <v>2</v>
      </c>
      <c r="E433" t="s">
        <v>21</v>
      </c>
    </row>
    <row r="434" spans="1:5" x14ac:dyDescent="0.25">
      <c r="A434" s="1">
        <v>46051</v>
      </c>
      <c r="B434" t="s">
        <v>829</v>
      </c>
      <c r="C434" t="s">
        <v>830</v>
      </c>
      <c r="D434">
        <v>7</v>
      </c>
      <c r="E434" t="s">
        <v>58</v>
      </c>
    </row>
    <row r="435" spans="1:5" x14ac:dyDescent="0.25">
      <c r="A435" s="1">
        <v>46051</v>
      </c>
      <c r="B435" t="s">
        <v>831</v>
      </c>
      <c r="C435" t="s">
        <v>832</v>
      </c>
      <c r="D435">
        <v>6</v>
      </c>
      <c r="E435" t="s">
        <v>58</v>
      </c>
    </row>
    <row r="436" spans="1:5" x14ac:dyDescent="0.25">
      <c r="A436" s="1">
        <v>46051</v>
      </c>
      <c r="B436" t="s">
        <v>833</v>
      </c>
      <c r="C436" t="s">
        <v>834</v>
      </c>
      <c r="D436">
        <v>1</v>
      </c>
      <c r="E436" t="s">
        <v>58</v>
      </c>
    </row>
    <row r="437" spans="1:5" x14ac:dyDescent="0.25">
      <c r="A437" s="1">
        <v>46052</v>
      </c>
      <c r="B437" t="s">
        <v>829</v>
      </c>
      <c r="C437" t="s">
        <v>830</v>
      </c>
      <c r="D437">
        <v>5</v>
      </c>
      <c r="E437" t="s">
        <v>28</v>
      </c>
    </row>
    <row r="438" spans="1:5" x14ac:dyDescent="0.25">
      <c r="A438" s="1">
        <v>46052</v>
      </c>
      <c r="B438" t="s">
        <v>831</v>
      </c>
      <c r="C438" t="s">
        <v>832</v>
      </c>
      <c r="D438">
        <v>10</v>
      </c>
      <c r="E438" t="s">
        <v>28</v>
      </c>
    </row>
    <row r="439" spans="1:5" x14ac:dyDescent="0.25">
      <c r="A439" s="1">
        <v>46052</v>
      </c>
      <c r="B439" t="s">
        <v>833</v>
      </c>
      <c r="C439" t="s">
        <v>834</v>
      </c>
      <c r="D439">
        <v>8</v>
      </c>
      <c r="E439" t="s">
        <v>28</v>
      </c>
    </row>
    <row r="440" spans="1:5" x14ac:dyDescent="0.25">
      <c r="A440" s="1">
        <v>46052</v>
      </c>
      <c r="B440" t="s">
        <v>829</v>
      </c>
      <c r="C440" t="s">
        <v>830</v>
      </c>
      <c r="D440">
        <v>7</v>
      </c>
      <c r="E440" t="s">
        <v>126</v>
      </c>
    </row>
    <row r="441" spans="1:5" x14ac:dyDescent="0.25">
      <c r="A441" s="1">
        <v>46052</v>
      </c>
      <c r="B441" t="s">
        <v>831</v>
      </c>
      <c r="C441" t="s">
        <v>832</v>
      </c>
      <c r="D441">
        <v>5</v>
      </c>
      <c r="E441" t="s">
        <v>126</v>
      </c>
    </row>
    <row r="442" spans="1:5" x14ac:dyDescent="0.25">
      <c r="A442" s="1">
        <v>46052</v>
      </c>
      <c r="B442" t="s">
        <v>833</v>
      </c>
      <c r="C442" t="s">
        <v>834</v>
      </c>
      <c r="D442">
        <v>5</v>
      </c>
      <c r="E442" t="s">
        <v>126</v>
      </c>
    </row>
    <row r="443" spans="1:5" x14ac:dyDescent="0.25">
      <c r="A443" s="1">
        <v>46052</v>
      </c>
      <c r="B443" t="s">
        <v>829</v>
      </c>
      <c r="C443" t="s">
        <v>830</v>
      </c>
      <c r="D443">
        <v>5</v>
      </c>
      <c r="E443" t="s">
        <v>48</v>
      </c>
    </row>
    <row r="444" spans="1:5" x14ac:dyDescent="0.25">
      <c r="A444" s="1">
        <v>46052</v>
      </c>
      <c r="B444" t="s">
        <v>831</v>
      </c>
      <c r="C444" t="s">
        <v>832</v>
      </c>
      <c r="D444">
        <v>3</v>
      </c>
      <c r="E444" t="s">
        <v>48</v>
      </c>
    </row>
    <row r="445" spans="1:5" x14ac:dyDescent="0.25">
      <c r="A445" s="1">
        <v>46052</v>
      </c>
      <c r="B445" t="s">
        <v>833</v>
      </c>
      <c r="C445" t="s">
        <v>834</v>
      </c>
      <c r="D445">
        <v>5</v>
      </c>
      <c r="E445" t="s">
        <v>48</v>
      </c>
    </row>
    <row r="446" spans="1:5" x14ac:dyDescent="0.25">
      <c r="A446" s="1">
        <v>46052</v>
      </c>
      <c r="B446" t="s">
        <v>829</v>
      </c>
      <c r="C446" t="s">
        <v>830</v>
      </c>
      <c r="D446">
        <v>5</v>
      </c>
      <c r="E446" t="s">
        <v>21</v>
      </c>
    </row>
    <row r="447" spans="1:5" x14ac:dyDescent="0.25">
      <c r="A447" s="1">
        <v>46052</v>
      </c>
      <c r="B447" t="s">
        <v>831</v>
      </c>
      <c r="C447" t="s">
        <v>832</v>
      </c>
      <c r="D447">
        <v>3</v>
      </c>
      <c r="E447" t="s">
        <v>21</v>
      </c>
    </row>
    <row r="448" spans="1:5" x14ac:dyDescent="0.25">
      <c r="A448" s="1">
        <v>46052</v>
      </c>
      <c r="B448" t="s">
        <v>833</v>
      </c>
      <c r="C448" t="s">
        <v>834</v>
      </c>
      <c r="D448">
        <v>2</v>
      </c>
      <c r="E448" t="s">
        <v>21</v>
      </c>
    </row>
    <row r="449" spans="1:5" x14ac:dyDescent="0.25">
      <c r="A449" s="1">
        <v>46052</v>
      </c>
      <c r="B449" t="s">
        <v>829</v>
      </c>
      <c r="C449" t="s">
        <v>830</v>
      </c>
      <c r="D449">
        <v>9</v>
      </c>
      <c r="E449" t="s">
        <v>58</v>
      </c>
    </row>
    <row r="450" spans="1:5" x14ac:dyDescent="0.25">
      <c r="A450" s="1">
        <v>46052</v>
      </c>
      <c r="B450" t="s">
        <v>831</v>
      </c>
      <c r="C450" t="s">
        <v>832</v>
      </c>
      <c r="D450">
        <v>4</v>
      </c>
      <c r="E450" t="s">
        <v>58</v>
      </c>
    </row>
    <row r="451" spans="1:5" x14ac:dyDescent="0.25">
      <c r="A451" s="1">
        <v>46052</v>
      </c>
      <c r="B451" t="s">
        <v>833</v>
      </c>
      <c r="C451" t="s">
        <v>834</v>
      </c>
      <c r="D451">
        <v>2</v>
      </c>
      <c r="E451" t="s">
        <v>58</v>
      </c>
    </row>
    <row r="452" spans="1:5" x14ac:dyDescent="0.25">
      <c r="A452" s="1">
        <v>46053</v>
      </c>
      <c r="B452" t="s">
        <v>829</v>
      </c>
      <c r="C452" t="s">
        <v>830</v>
      </c>
      <c r="D452">
        <v>6</v>
      </c>
      <c r="E452" t="s">
        <v>28</v>
      </c>
    </row>
    <row r="453" spans="1:5" x14ac:dyDescent="0.25">
      <c r="A453" s="1">
        <v>46053</v>
      </c>
      <c r="B453" t="s">
        <v>831</v>
      </c>
      <c r="C453" t="s">
        <v>832</v>
      </c>
      <c r="D453">
        <v>9</v>
      </c>
      <c r="E453" t="s">
        <v>28</v>
      </c>
    </row>
    <row r="454" spans="1:5" x14ac:dyDescent="0.25">
      <c r="A454" s="1">
        <v>46053</v>
      </c>
      <c r="B454" t="s">
        <v>833</v>
      </c>
      <c r="C454" t="s">
        <v>834</v>
      </c>
      <c r="D454">
        <v>7</v>
      </c>
      <c r="E454" t="s">
        <v>28</v>
      </c>
    </row>
    <row r="455" spans="1:5" x14ac:dyDescent="0.25">
      <c r="A455" s="1">
        <v>46053</v>
      </c>
      <c r="B455" t="s">
        <v>829</v>
      </c>
      <c r="C455" t="s">
        <v>830</v>
      </c>
      <c r="D455">
        <v>4</v>
      </c>
      <c r="E455" t="s">
        <v>126</v>
      </c>
    </row>
    <row r="456" spans="1:5" x14ac:dyDescent="0.25">
      <c r="A456" s="1">
        <v>46053</v>
      </c>
      <c r="B456" t="s">
        <v>831</v>
      </c>
      <c r="C456" t="s">
        <v>832</v>
      </c>
      <c r="D456">
        <v>4</v>
      </c>
      <c r="E456" t="s">
        <v>126</v>
      </c>
    </row>
    <row r="457" spans="1:5" x14ac:dyDescent="0.25">
      <c r="A457" s="1">
        <v>46053</v>
      </c>
      <c r="B457" t="s">
        <v>833</v>
      </c>
      <c r="C457" t="s">
        <v>834</v>
      </c>
      <c r="D457">
        <v>3</v>
      </c>
      <c r="E457" t="s">
        <v>126</v>
      </c>
    </row>
    <row r="458" spans="1:5" x14ac:dyDescent="0.25">
      <c r="A458" s="1">
        <v>46053</v>
      </c>
      <c r="B458" t="s">
        <v>829</v>
      </c>
      <c r="C458" t="s">
        <v>830</v>
      </c>
      <c r="D458">
        <v>7</v>
      </c>
      <c r="E458" t="s">
        <v>48</v>
      </c>
    </row>
    <row r="459" spans="1:5" x14ac:dyDescent="0.25">
      <c r="A459" s="1">
        <v>46053</v>
      </c>
      <c r="B459" t="s">
        <v>831</v>
      </c>
      <c r="C459" t="s">
        <v>832</v>
      </c>
      <c r="D459">
        <v>3</v>
      </c>
      <c r="E459" t="s">
        <v>48</v>
      </c>
    </row>
    <row r="460" spans="1:5" x14ac:dyDescent="0.25">
      <c r="A460" s="1">
        <v>46053</v>
      </c>
      <c r="B460" t="s">
        <v>833</v>
      </c>
      <c r="C460" t="s">
        <v>834</v>
      </c>
      <c r="D460">
        <v>2</v>
      </c>
      <c r="E460" t="s">
        <v>48</v>
      </c>
    </row>
    <row r="461" spans="1:5" x14ac:dyDescent="0.25">
      <c r="A461" s="1">
        <v>46053</v>
      </c>
      <c r="B461" t="s">
        <v>829</v>
      </c>
      <c r="C461" t="s">
        <v>830</v>
      </c>
      <c r="D461">
        <v>5</v>
      </c>
      <c r="E461" t="s">
        <v>21</v>
      </c>
    </row>
    <row r="462" spans="1:5" x14ac:dyDescent="0.25">
      <c r="A462" s="1">
        <v>46053</v>
      </c>
      <c r="B462" t="s">
        <v>831</v>
      </c>
      <c r="C462" t="s">
        <v>832</v>
      </c>
      <c r="D462">
        <v>2</v>
      </c>
      <c r="E462" t="s">
        <v>21</v>
      </c>
    </row>
    <row r="463" spans="1:5" x14ac:dyDescent="0.25">
      <c r="A463" s="1">
        <v>46053</v>
      </c>
      <c r="B463" t="s">
        <v>833</v>
      </c>
      <c r="C463" t="s">
        <v>834</v>
      </c>
      <c r="D463">
        <v>2</v>
      </c>
      <c r="E463" t="s">
        <v>21</v>
      </c>
    </row>
    <row r="464" spans="1:5" x14ac:dyDescent="0.25">
      <c r="A464" s="1">
        <v>46053</v>
      </c>
      <c r="B464" t="s">
        <v>829</v>
      </c>
      <c r="C464" t="s">
        <v>830</v>
      </c>
      <c r="D464">
        <v>6</v>
      </c>
      <c r="E464" t="s">
        <v>58</v>
      </c>
    </row>
    <row r="465" spans="1:5" x14ac:dyDescent="0.25">
      <c r="A465" s="1">
        <v>46053</v>
      </c>
      <c r="B465" t="s">
        <v>831</v>
      </c>
      <c r="C465" t="s">
        <v>832</v>
      </c>
      <c r="D465">
        <v>3</v>
      </c>
      <c r="E465" t="s">
        <v>58</v>
      </c>
    </row>
    <row r="466" spans="1:5" x14ac:dyDescent="0.25">
      <c r="A466" s="1">
        <v>46053</v>
      </c>
      <c r="B466" t="s">
        <v>833</v>
      </c>
      <c r="C466" t="s">
        <v>834</v>
      </c>
      <c r="D466">
        <v>1</v>
      </c>
      <c r="E466" t="s">
        <v>58</v>
      </c>
    </row>
    <row r="467" spans="1:5" x14ac:dyDescent="0.25">
      <c r="A467" s="1">
        <v>46054</v>
      </c>
      <c r="B467" t="s">
        <v>829</v>
      </c>
      <c r="C467" t="s">
        <v>830</v>
      </c>
      <c r="D467">
        <v>8</v>
      </c>
      <c r="E467" t="s">
        <v>28</v>
      </c>
    </row>
    <row r="468" spans="1:5" x14ac:dyDescent="0.25">
      <c r="A468" s="1">
        <v>46054</v>
      </c>
      <c r="B468" t="s">
        <v>831</v>
      </c>
      <c r="C468" t="s">
        <v>832</v>
      </c>
      <c r="D468">
        <v>10</v>
      </c>
      <c r="E468" t="s">
        <v>28</v>
      </c>
    </row>
    <row r="469" spans="1:5" x14ac:dyDescent="0.25">
      <c r="A469" s="1">
        <v>46054</v>
      </c>
      <c r="B469" t="s">
        <v>833</v>
      </c>
      <c r="C469" t="s">
        <v>834</v>
      </c>
      <c r="D469">
        <v>4</v>
      </c>
      <c r="E469" t="s">
        <v>28</v>
      </c>
    </row>
    <row r="470" spans="1:5" x14ac:dyDescent="0.25">
      <c r="A470" s="1">
        <v>46054</v>
      </c>
      <c r="B470" t="s">
        <v>829</v>
      </c>
      <c r="C470" t="s">
        <v>830</v>
      </c>
      <c r="D470">
        <v>6</v>
      </c>
      <c r="E470" t="s">
        <v>126</v>
      </c>
    </row>
    <row r="471" spans="1:5" x14ac:dyDescent="0.25">
      <c r="A471" s="1">
        <v>46054</v>
      </c>
      <c r="B471" t="s">
        <v>831</v>
      </c>
      <c r="C471" t="s">
        <v>832</v>
      </c>
      <c r="D471">
        <v>2</v>
      </c>
      <c r="E471" t="s">
        <v>126</v>
      </c>
    </row>
    <row r="472" spans="1:5" x14ac:dyDescent="0.25">
      <c r="A472" s="1">
        <v>46054</v>
      </c>
      <c r="B472" t="s">
        <v>833</v>
      </c>
      <c r="C472" t="s">
        <v>834</v>
      </c>
      <c r="D472">
        <v>3</v>
      </c>
      <c r="E472" t="s">
        <v>126</v>
      </c>
    </row>
    <row r="473" spans="1:5" x14ac:dyDescent="0.25">
      <c r="A473" s="1">
        <v>46054</v>
      </c>
      <c r="B473" t="s">
        <v>829</v>
      </c>
      <c r="C473" t="s">
        <v>830</v>
      </c>
      <c r="D473">
        <v>6</v>
      </c>
      <c r="E473" t="s">
        <v>48</v>
      </c>
    </row>
    <row r="474" spans="1:5" x14ac:dyDescent="0.25">
      <c r="A474" s="1">
        <v>46054</v>
      </c>
      <c r="B474" t="s">
        <v>831</v>
      </c>
      <c r="C474" t="s">
        <v>832</v>
      </c>
      <c r="D474">
        <v>6</v>
      </c>
      <c r="E474" t="s">
        <v>48</v>
      </c>
    </row>
    <row r="475" spans="1:5" x14ac:dyDescent="0.25">
      <c r="A475" s="1">
        <v>46054</v>
      </c>
      <c r="B475" t="s">
        <v>833</v>
      </c>
      <c r="C475" t="s">
        <v>834</v>
      </c>
      <c r="D475">
        <v>3</v>
      </c>
      <c r="E475" t="s">
        <v>48</v>
      </c>
    </row>
    <row r="476" spans="1:5" x14ac:dyDescent="0.25">
      <c r="A476" s="1">
        <v>46054</v>
      </c>
      <c r="B476" t="s">
        <v>829</v>
      </c>
      <c r="C476" t="s">
        <v>830</v>
      </c>
      <c r="D476">
        <v>7</v>
      </c>
      <c r="E476" t="s">
        <v>21</v>
      </c>
    </row>
    <row r="477" spans="1:5" x14ac:dyDescent="0.25">
      <c r="A477" s="1">
        <v>46054</v>
      </c>
      <c r="B477" t="s">
        <v>831</v>
      </c>
      <c r="C477" t="s">
        <v>832</v>
      </c>
      <c r="D477">
        <v>4</v>
      </c>
      <c r="E477" t="s">
        <v>21</v>
      </c>
    </row>
    <row r="478" spans="1:5" x14ac:dyDescent="0.25">
      <c r="A478" s="1">
        <v>46054</v>
      </c>
      <c r="B478" t="s">
        <v>833</v>
      </c>
      <c r="C478" t="s">
        <v>834</v>
      </c>
      <c r="D478">
        <v>1</v>
      </c>
      <c r="E478" t="s">
        <v>21</v>
      </c>
    </row>
    <row r="479" spans="1:5" x14ac:dyDescent="0.25">
      <c r="A479" s="1">
        <v>46054</v>
      </c>
      <c r="B479" t="s">
        <v>829</v>
      </c>
      <c r="C479" t="s">
        <v>830</v>
      </c>
      <c r="D479">
        <v>7</v>
      </c>
      <c r="E479" t="s">
        <v>58</v>
      </c>
    </row>
    <row r="480" spans="1:5" x14ac:dyDescent="0.25">
      <c r="A480" s="1">
        <v>46054</v>
      </c>
      <c r="B480" t="s">
        <v>831</v>
      </c>
      <c r="C480" t="s">
        <v>832</v>
      </c>
      <c r="D480">
        <v>5</v>
      </c>
      <c r="E480" t="s">
        <v>58</v>
      </c>
    </row>
    <row r="481" spans="1:5" x14ac:dyDescent="0.25">
      <c r="A481" s="1">
        <v>46054</v>
      </c>
      <c r="B481" t="s">
        <v>833</v>
      </c>
      <c r="C481" t="s">
        <v>834</v>
      </c>
      <c r="D481">
        <v>1</v>
      </c>
      <c r="E481" t="s">
        <v>58</v>
      </c>
    </row>
    <row r="482" spans="1:5" x14ac:dyDescent="0.25">
      <c r="A482" s="1">
        <v>46055</v>
      </c>
      <c r="B482" t="s">
        <v>829</v>
      </c>
      <c r="C482" t="s">
        <v>830</v>
      </c>
      <c r="D482">
        <v>8</v>
      </c>
      <c r="E482" t="s">
        <v>28</v>
      </c>
    </row>
    <row r="483" spans="1:5" x14ac:dyDescent="0.25">
      <c r="A483" s="1">
        <v>46055</v>
      </c>
      <c r="B483" t="s">
        <v>831</v>
      </c>
      <c r="C483" t="s">
        <v>832</v>
      </c>
      <c r="D483">
        <v>10</v>
      </c>
      <c r="E483" t="s">
        <v>28</v>
      </c>
    </row>
    <row r="484" spans="1:5" x14ac:dyDescent="0.25">
      <c r="A484" s="1">
        <v>46055</v>
      </c>
      <c r="B484" t="s">
        <v>833</v>
      </c>
      <c r="C484" t="s">
        <v>834</v>
      </c>
      <c r="D484">
        <v>4</v>
      </c>
      <c r="E484" t="s">
        <v>28</v>
      </c>
    </row>
    <row r="485" spans="1:5" x14ac:dyDescent="0.25">
      <c r="A485" s="1">
        <v>46055</v>
      </c>
      <c r="B485" t="s">
        <v>829</v>
      </c>
      <c r="C485" t="s">
        <v>830</v>
      </c>
      <c r="D485">
        <v>5</v>
      </c>
      <c r="E485" t="s">
        <v>126</v>
      </c>
    </row>
    <row r="486" spans="1:5" x14ac:dyDescent="0.25">
      <c r="A486" s="1">
        <v>46055</v>
      </c>
      <c r="B486" t="s">
        <v>831</v>
      </c>
      <c r="C486" t="s">
        <v>832</v>
      </c>
      <c r="D486">
        <v>3</v>
      </c>
      <c r="E486" t="s">
        <v>126</v>
      </c>
    </row>
    <row r="487" spans="1:5" x14ac:dyDescent="0.25">
      <c r="A487" s="1">
        <v>46055</v>
      </c>
      <c r="B487" t="s">
        <v>833</v>
      </c>
      <c r="C487" t="s">
        <v>834</v>
      </c>
      <c r="D487">
        <v>1</v>
      </c>
      <c r="E487" t="s">
        <v>126</v>
      </c>
    </row>
    <row r="488" spans="1:5" x14ac:dyDescent="0.25">
      <c r="A488" s="1">
        <v>46055</v>
      </c>
      <c r="B488" t="s">
        <v>829</v>
      </c>
      <c r="C488" t="s">
        <v>830</v>
      </c>
      <c r="D488">
        <v>6</v>
      </c>
      <c r="E488" t="s">
        <v>48</v>
      </c>
    </row>
    <row r="489" spans="1:5" x14ac:dyDescent="0.25">
      <c r="A489" s="1">
        <v>46055</v>
      </c>
      <c r="B489" t="s">
        <v>831</v>
      </c>
      <c r="C489" t="s">
        <v>832</v>
      </c>
      <c r="D489">
        <v>6</v>
      </c>
      <c r="E489" t="s">
        <v>48</v>
      </c>
    </row>
    <row r="490" spans="1:5" x14ac:dyDescent="0.25">
      <c r="A490" s="1">
        <v>46055</v>
      </c>
      <c r="B490" t="s">
        <v>833</v>
      </c>
      <c r="C490" t="s">
        <v>834</v>
      </c>
      <c r="D490">
        <v>2</v>
      </c>
      <c r="E490" t="s">
        <v>48</v>
      </c>
    </row>
    <row r="491" spans="1:5" x14ac:dyDescent="0.25">
      <c r="A491" s="1">
        <v>46055</v>
      </c>
      <c r="B491" t="s">
        <v>829</v>
      </c>
      <c r="C491" t="s">
        <v>830</v>
      </c>
      <c r="D491">
        <v>4</v>
      </c>
      <c r="E491" t="s">
        <v>21</v>
      </c>
    </row>
    <row r="492" spans="1:5" x14ac:dyDescent="0.25">
      <c r="A492" s="1">
        <v>46055</v>
      </c>
      <c r="B492" t="s">
        <v>831</v>
      </c>
      <c r="C492" t="s">
        <v>832</v>
      </c>
      <c r="D492">
        <v>3</v>
      </c>
      <c r="E492" t="s">
        <v>21</v>
      </c>
    </row>
    <row r="493" spans="1:5" x14ac:dyDescent="0.25">
      <c r="A493" s="1">
        <v>46055</v>
      </c>
      <c r="B493" t="s">
        <v>833</v>
      </c>
      <c r="C493" t="s">
        <v>834</v>
      </c>
      <c r="D493">
        <v>4</v>
      </c>
      <c r="E493" t="s">
        <v>21</v>
      </c>
    </row>
    <row r="494" spans="1:5" x14ac:dyDescent="0.25">
      <c r="A494" s="1">
        <v>46055</v>
      </c>
      <c r="B494" t="s">
        <v>829</v>
      </c>
      <c r="C494" t="s">
        <v>830</v>
      </c>
      <c r="D494">
        <v>11</v>
      </c>
      <c r="E494" t="s">
        <v>58</v>
      </c>
    </row>
    <row r="495" spans="1:5" x14ac:dyDescent="0.25">
      <c r="A495" s="1">
        <v>46055</v>
      </c>
      <c r="B495" t="s">
        <v>831</v>
      </c>
      <c r="C495" t="s">
        <v>832</v>
      </c>
      <c r="D495">
        <v>6</v>
      </c>
      <c r="E495" t="s">
        <v>58</v>
      </c>
    </row>
    <row r="496" spans="1:5" x14ac:dyDescent="0.25">
      <c r="A496" s="1">
        <v>46055</v>
      </c>
      <c r="B496" t="s">
        <v>833</v>
      </c>
      <c r="C496" t="s">
        <v>834</v>
      </c>
      <c r="D496">
        <v>5</v>
      </c>
      <c r="E496" t="s">
        <v>58</v>
      </c>
    </row>
    <row r="497" spans="1:5" x14ac:dyDescent="0.25">
      <c r="A497" s="1">
        <v>46056</v>
      </c>
      <c r="B497" t="s">
        <v>829</v>
      </c>
      <c r="C497" t="s">
        <v>830</v>
      </c>
      <c r="D497">
        <v>7</v>
      </c>
      <c r="E497" t="s">
        <v>28</v>
      </c>
    </row>
    <row r="498" spans="1:5" x14ac:dyDescent="0.25">
      <c r="A498" s="1">
        <v>46056</v>
      </c>
      <c r="B498" t="s">
        <v>831</v>
      </c>
      <c r="C498" t="s">
        <v>832</v>
      </c>
      <c r="D498">
        <v>8</v>
      </c>
      <c r="E498" t="s">
        <v>28</v>
      </c>
    </row>
    <row r="499" spans="1:5" x14ac:dyDescent="0.25">
      <c r="A499" s="1">
        <v>46056</v>
      </c>
      <c r="B499" t="s">
        <v>833</v>
      </c>
      <c r="C499" t="s">
        <v>834</v>
      </c>
      <c r="D499">
        <v>7</v>
      </c>
      <c r="E499" t="s">
        <v>28</v>
      </c>
    </row>
    <row r="500" spans="1:5" x14ac:dyDescent="0.25">
      <c r="A500" s="1">
        <v>46056</v>
      </c>
      <c r="B500" t="s">
        <v>829</v>
      </c>
      <c r="C500" t="s">
        <v>830</v>
      </c>
      <c r="D500">
        <v>5</v>
      </c>
      <c r="E500" t="s">
        <v>126</v>
      </c>
    </row>
    <row r="501" spans="1:5" x14ac:dyDescent="0.25">
      <c r="A501" s="1">
        <v>46056</v>
      </c>
      <c r="B501" t="s">
        <v>831</v>
      </c>
      <c r="C501" t="s">
        <v>832</v>
      </c>
      <c r="D501">
        <v>4</v>
      </c>
      <c r="E501" t="s">
        <v>126</v>
      </c>
    </row>
    <row r="502" spans="1:5" x14ac:dyDescent="0.25">
      <c r="A502" s="1">
        <v>46056</v>
      </c>
      <c r="B502" t="s">
        <v>833</v>
      </c>
      <c r="C502" t="s">
        <v>834</v>
      </c>
      <c r="D502">
        <v>3</v>
      </c>
      <c r="E502" t="s">
        <v>126</v>
      </c>
    </row>
    <row r="503" spans="1:5" x14ac:dyDescent="0.25">
      <c r="A503" s="1">
        <v>46056</v>
      </c>
      <c r="B503" t="s">
        <v>829</v>
      </c>
      <c r="C503" t="s">
        <v>830</v>
      </c>
      <c r="D503">
        <v>7</v>
      </c>
      <c r="E503" t="s">
        <v>48</v>
      </c>
    </row>
    <row r="504" spans="1:5" x14ac:dyDescent="0.25">
      <c r="A504" s="1">
        <v>46056</v>
      </c>
      <c r="B504" t="s">
        <v>831</v>
      </c>
      <c r="C504" t="s">
        <v>832</v>
      </c>
      <c r="D504">
        <v>3</v>
      </c>
      <c r="E504" t="s">
        <v>48</v>
      </c>
    </row>
    <row r="505" spans="1:5" x14ac:dyDescent="0.25">
      <c r="A505" s="1">
        <v>46056</v>
      </c>
      <c r="B505" t="s">
        <v>833</v>
      </c>
      <c r="C505" t="s">
        <v>834</v>
      </c>
      <c r="D505">
        <v>3</v>
      </c>
      <c r="E505" t="s">
        <v>48</v>
      </c>
    </row>
    <row r="506" spans="1:5" x14ac:dyDescent="0.25">
      <c r="A506" s="1">
        <v>46056</v>
      </c>
      <c r="B506" t="s">
        <v>829</v>
      </c>
      <c r="C506" t="s">
        <v>830</v>
      </c>
      <c r="D506">
        <v>6</v>
      </c>
      <c r="E506" t="s">
        <v>21</v>
      </c>
    </row>
    <row r="507" spans="1:5" x14ac:dyDescent="0.25">
      <c r="A507" s="1">
        <v>46056</v>
      </c>
      <c r="B507" t="s">
        <v>831</v>
      </c>
      <c r="C507" t="s">
        <v>832</v>
      </c>
      <c r="D507">
        <v>5</v>
      </c>
      <c r="E507" t="s">
        <v>21</v>
      </c>
    </row>
    <row r="508" spans="1:5" x14ac:dyDescent="0.25">
      <c r="A508" s="1">
        <v>46056</v>
      </c>
      <c r="B508" t="s">
        <v>833</v>
      </c>
      <c r="C508" t="s">
        <v>834</v>
      </c>
      <c r="D508">
        <v>5</v>
      </c>
      <c r="E508" t="s">
        <v>21</v>
      </c>
    </row>
    <row r="509" spans="1:5" x14ac:dyDescent="0.25">
      <c r="A509" s="1">
        <v>46056</v>
      </c>
      <c r="B509" t="s">
        <v>829</v>
      </c>
      <c r="C509" t="s">
        <v>830</v>
      </c>
      <c r="D509">
        <v>9</v>
      </c>
      <c r="E509" t="s">
        <v>58</v>
      </c>
    </row>
    <row r="510" spans="1:5" x14ac:dyDescent="0.25">
      <c r="A510" s="1">
        <v>46056</v>
      </c>
      <c r="B510" t="s">
        <v>831</v>
      </c>
      <c r="C510" t="s">
        <v>832</v>
      </c>
      <c r="D510">
        <v>5</v>
      </c>
      <c r="E510" t="s">
        <v>58</v>
      </c>
    </row>
    <row r="511" spans="1:5" x14ac:dyDescent="0.25">
      <c r="A511" s="1">
        <v>46056</v>
      </c>
      <c r="B511" t="s">
        <v>833</v>
      </c>
      <c r="C511" t="s">
        <v>834</v>
      </c>
      <c r="D511">
        <v>1</v>
      </c>
      <c r="E511" t="s">
        <v>58</v>
      </c>
    </row>
    <row r="512" spans="1:5" x14ac:dyDescent="0.25">
      <c r="A512" s="1">
        <v>46057</v>
      </c>
      <c r="B512" t="s">
        <v>829</v>
      </c>
      <c r="C512" t="s">
        <v>830</v>
      </c>
      <c r="D512">
        <v>6</v>
      </c>
      <c r="E512" t="s">
        <v>28</v>
      </c>
    </row>
    <row r="513" spans="1:5" x14ac:dyDescent="0.25">
      <c r="A513" s="1">
        <v>46057</v>
      </c>
      <c r="B513" t="s">
        <v>831</v>
      </c>
      <c r="C513" t="s">
        <v>832</v>
      </c>
      <c r="D513">
        <v>10</v>
      </c>
      <c r="E513" t="s">
        <v>28</v>
      </c>
    </row>
    <row r="514" spans="1:5" x14ac:dyDescent="0.25">
      <c r="A514" s="1">
        <v>46057</v>
      </c>
      <c r="B514" t="s">
        <v>833</v>
      </c>
      <c r="C514" t="s">
        <v>834</v>
      </c>
      <c r="D514">
        <v>5</v>
      </c>
      <c r="E514" t="s">
        <v>28</v>
      </c>
    </row>
    <row r="515" spans="1:5" x14ac:dyDescent="0.25">
      <c r="A515" s="1">
        <v>46057</v>
      </c>
      <c r="B515" t="s">
        <v>829</v>
      </c>
      <c r="C515" t="s">
        <v>830</v>
      </c>
      <c r="D515">
        <v>4</v>
      </c>
      <c r="E515" t="s">
        <v>126</v>
      </c>
    </row>
    <row r="516" spans="1:5" x14ac:dyDescent="0.25">
      <c r="A516" s="1">
        <v>46057</v>
      </c>
      <c r="B516" t="s">
        <v>831</v>
      </c>
      <c r="C516" t="s">
        <v>832</v>
      </c>
      <c r="D516">
        <v>5</v>
      </c>
      <c r="E516" t="s">
        <v>126</v>
      </c>
    </row>
    <row r="517" spans="1:5" x14ac:dyDescent="0.25">
      <c r="A517" s="1">
        <v>46057</v>
      </c>
      <c r="B517" t="s">
        <v>833</v>
      </c>
      <c r="C517" t="s">
        <v>834</v>
      </c>
      <c r="D517">
        <v>4</v>
      </c>
      <c r="E517" t="s">
        <v>126</v>
      </c>
    </row>
    <row r="518" spans="1:5" x14ac:dyDescent="0.25">
      <c r="A518" s="1">
        <v>46057</v>
      </c>
      <c r="B518" t="s">
        <v>829</v>
      </c>
      <c r="C518" t="s">
        <v>830</v>
      </c>
      <c r="D518">
        <v>4</v>
      </c>
      <c r="E518" t="s">
        <v>48</v>
      </c>
    </row>
    <row r="519" spans="1:5" x14ac:dyDescent="0.25">
      <c r="A519" s="1">
        <v>46057</v>
      </c>
      <c r="B519" t="s">
        <v>831</v>
      </c>
      <c r="C519" t="s">
        <v>832</v>
      </c>
      <c r="D519">
        <v>6</v>
      </c>
      <c r="E519" t="s">
        <v>48</v>
      </c>
    </row>
    <row r="520" spans="1:5" x14ac:dyDescent="0.25">
      <c r="A520" s="1">
        <v>46057</v>
      </c>
      <c r="B520" t="s">
        <v>833</v>
      </c>
      <c r="C520" t="s">
        <v>834</v>
      </c>
      <c r="D520">
        <v>3</v>
      </c>
      <c r="E520" t="s">
        <v>48</v>
      </c>
    </row>
    <row r="521" spans="1:5" x14ac:dyDescent="0.25">
      <c r="A521" s="1">
        <v>46057</v>
      </c>
      <c r="B521" t="s">
        <v>829</v>
      </c>
      <c r="C521" t="s">
        <v>830</v>
      </c>
      <c r="D521">
        <v>8</v>
      </c>
      <c r="E521" t="s">
        <v>21</v>
      </c>
    </row>
    <row r="522" spans="1:5" x14ac:dyDescent="0.25">
      <c r="A522" s="1">
        <v>46057</v>
      </c>
      <c r="B522" t="s">
        <v>831</v>
      </c>
      <c r="C522" t="s">
        <v>832</v>
      </c>
      <c r="D522">
        <v>4</v>
      </c>
      <c r="E522" t="s">
        <v>21</v>
      </c>
    </row>
    <row r="523" spans="1:5" x14ac:dyDescent="0.25">
      <c r="A523" s="1">
        <v>46057</v>
      </c>
      <c r="B523" t="s">
        <v>833</v>
      </c>
      <c r="C523" t="s">
        <v>834</v>
      </c>
      <c r="D523">
        <v>2</v>
      </c>
      <c r="E523" t="s">
        <v>21</v>
      </c>
    </row>
    <row r="524" spans="1:5" x14ac:dyDescent="0.25">
      <c r="A524" s="1">
        <v>46057</v>
      </c>
      <c r="B524" t="s">
        <v>829</v>
      </c>
      <c r="C524" t="s">
        <v>830</v>
      </c>
      <c r="D524">
        <v>11</v>
      </c>
      <c r="E524" t="s">
        <v>58</v>
      </c>
    </row>
    <row r="525" spans="1:5" x14ac:dyDescent="0.25">
      <c r="A525" s="1">
        <v>46057</v>
      </c>
      <c r="B525" t="s">
        <v>831</v>
      </c>
      <c r="C525" t="s">
        <v>832</v>
      </c>
      <c r="D525">
        <v>4</v>
      </c>
      <c r="E525" t="s">
        <v>58</v>
      </c>
    </row>
    <row r="526" spans="1:5" x14ac:dyDescent="0.25">
      <c r="A526" s="1">
        <v>46057</v>
      </c>
      <c r="B526" t="s">
        <v>833</v>
      </c>
      <c r="C526" t="s">
        <v>834</v>
      </c>
      <c r="D526">
        <v>1</v>
      </c>
      <c r="E526" t="s">
        <v>58</v>
      </c>
    </row>
    <row r="527" spans="1:5" x14ac:dyDescent="0.25">
      <c r="A527" s="1">
        <v>46058</v>
      </c>
      <c r="B527" t="s">
        <v>829</v>
      </c>
      <c r="C527" t="s">
        <v>830</v>
      </c>
      <c r="D527">
        <v>5</v>
      </c>
      <c r="E527" t="s">
        <v>28</v>
      </c>
    </row>
    <row r="528" spans="1:5" x14ac:dyDescent="0.25">
      <c r="A528" s="1">
        <v>46058</v>
      </c>
      <c r="B528" t="s">
        <v>831</v>
      </c>
      <c r="C528" t="s">
        <v>832</v>
      </c>
      <c r="D528">
        <v>9</v>
      </c>
      <c r="E528" t="s">
        <v>28</v>
      </c>
    </row>
    <row r="529" spans="1:5" x14ac:dyDescent="0.25">
      <c r="A529" s="1">
        <v>46058</v>
      </c>
      <c r="B529" t="s">
        <v>833</v>
      </c>
      <c r="C529" t="s">
        <v>834</v>
      </c>
      <c r="D529">
        <v>7</v>
      </c>
      <c r="E529" t="s">
        <v>28</v>
      </c>
    </row>
    <row r="530" spans="1:5" x14ac:dyDescent="0.25">
      <c r="A530" s="1">
        <v>46058</v>
      </c>
      <c r="B530" t="s">
        <v>829</v>
      </c>
      <c r="C530" t="s">
        <v>830</v>
      </c>
      <c r="D530">
        <v>8</v>
      </c>
      <c r="E530" t="s">
        <v>126</v>
      </c>
    </row>
    <row r="531" spans="1:5" x14ac:dyDescent="0.25">
      <c r="A531" s="1">
        <v>46058</v>
      </c>
      <c r="B531" t="s">
        <v>831</v>
      </c>
      <c r="C531" t="s">
        <v>832</v>
      </c>
      <c r="D531">
        <v>3</v>
      </c>
      <c r="E531" t="s">
        <v>126</v>
      </c>
    </row>
    <row r="532" spans="1:5" x14ac:dyDescent="0.25">
      <c r="A532" s="1">
        <v>46058</v>
      </c>
      <c r="B532" t="s">
        <v>833</v>
      </c>
      <c r="C532" t="s">
        <v>834</v>
      </c>
      <c r="D532">
        <v>4</v>
      </c>
      <c r="E532" t="s">
        <v>126</v>
      </c>
    </row>
    <row r="533" spans="1:5" x14ac:dyDescent="0.25">
      <c r="A533" s="1">
        <v>46058</v>
      </c>
      <c r="B533" t="s">
        <v>829</v>
      </c>
      <c r="C533" t="s">
        <v>830</v>
      </c>
      <c r="D533">
        <v>4</v>
      </c>
      <c r="E533" t="s">
        <v>48</v>
      </c>
    </row>
    <row r="534" spans="1:5" x14ac:dyDescent="0.25">
      <c r="A534" s="1">
        <v>46058</v>
      </c>
      <c r="B534" t="s">
        <v>831</v>
      </c>
      <c r="C534" t="s">
        <v>832</v>
      </c>
      <c r="D534">
        <v>5</v>
      </c>
      <c r="E534" t="s">
        <v>48</v>
      </c>
    </row>
    <row r="535" spans="1:5" x14ac:dyDescent="0.25">
      <c r="A535" s="1">
        <v>46058</v>
      </c>
      <c r="B535" t="s">
        <v>833</v>
      </c>
      <c r="C535" t="s">
        <v>834</v>
      </c>
      <c r="D535">
        <v>3</v>
      </c>
      <c r="E535" t="s">
        <v>48</v>
      </c>
    </row>
    <row r="536" spans="1:5" x14ac:dyDescent="0.25">
      <c r="A536" s="1">
        <v>46058</v>
      </c>
      <c r="B536" t="s">
        <v>829</v>
      </c>
      <c r="C536" t="s">
        <v>830</v>
      </c>
      <c r="D536">
        <v>5</v>
      </c>
      <c r="E536" t="s">
        <v>21</v>
      </c>
    </row>
    <row r="537" spans="1:5" x14ac:dyDescent="0.25">
      <c r="A537" s="1">
        <v>46058</v>
      </c>
      <c r="B537" t="s">
        <v>831</v>
      </c>
      <c r="C537" t="s">
        <v>832</v>
      </c>
      <c r="D537">
        <v>3</v>
      </c>
      <c r="E537" t="s">
        <v>21</v>
      </c>
    </row>
    <row r="538" spans="1:5" x14ac:dyDescent="0.25">
      <c r="A538" s="1">
        <v>46058</v>
      </c>
      <c r="B538" t="s">
        <v>833</v>
      </c>
      <c r="C538" t="s">
        <v>834</v>
      </c>
      <c r="D538">
        <v>5</v>
      </c>
      <c r="E538" t="s">
        <v>21</v>
      </c>
    </row>
    <row r="539" spans="1:5" x14ac:dyDescent="0.25">
      <c r="A539" s="1">
        <v>46058</v>
      </c>
      <c r="B539" t="s">
        <v>829</v>
      </c>
      <c r="C539" t="s">
        <v>830</v>
      </c>
      <c r="D539">
        <v>11</v>
      </c>
      <c r="E539" t="s">
        <v>58</v>
      </c>
    </row>
    <row r="540" spans="1:5" x14ac:dyDescent="0.25">
      <c r="A540" s="1">
        <v>46058</v>
      </c>
      <c r="B540" t="s">
        <v>831</v>
      </c>
      <c r="C540" t="s">
        <v>832</v>
      </c>
      <c r="D540">
        <v>5</v>
      </c>
      <c r="E540" t="s">
        <v>58</v>
      </c>
    </row>
    <row r="541" spans="1:5" x14ac:dyDescent="0.25">
      <c r="A541" s="1">
        <v>46058</v>
      </c>
      <c r="B541" t="s">
        <v>833</v>
      </c>
      <c r="C541" t="s">
        <v>834</v>
      </c>
      <c r="D541">
        <v>5</v>
      </c>
      <c r="E541" t="s">
        <v>58</v>
      </c>
    </row>
    <row r="542" spans="1:5" x14ac:dyDescent="0.25">
      <c r="A542" s="1">
        <v>46059</v>
      </c>
      <c r="B542" t="s">
        <v>829</v>
      </c>
      <c r="C542" t="s">
        <v>830</v>
      </c>
      <c r="D542">
        <v>7</v>
      </c>
      <c r="E542" t="s">
        <v>28</v>
      </c>
    </row>
    <row r="543" spans="1:5" x14ac:dyDescent="0.25">
      <c r="A543" s="1">
        <v>46059</v>
      </c>
      <c r="B543" t="s">
        <v>831</v>
      </c>
      <c r="C543" t="s">
        <v>832</v>
      </c>
      <c r="D543">
        <v>11</v>
      </c>
      <c r="E543" t="s">
        <v>28</v>
      </c>
    </row>
    <row r="544" spans="1:5" x14ac:dyDescent="0.25">
      <c r="A544" s="1">
        <v>46059</v>
      </c>
      <c r="B544" t="s">
        <v>833</v>
      </c>
      <c r="C544" t="s">
        <v>834</v>
      </c>
      <c r="D544">
        <v>5</v>
      </c>
      <c r="E544" t="s">
        <v>28</v>
      </c>
    </row>
    <row r="545" spans="1:5" x14ac:dyDescent="0.25">
      <c r="A545" s="1">
        <v>46059</v>
      </c>
      <c r="B545" t="s">
        <v>829</v>
      </c>
      <c r="C545" t="s">
        <v>830</v>
      </c>
      <c r="D545">
        <v>6</v>
      </c>
      <c r="E545" t="s">
        <v>126</v>
      </c>
    </row>
    <row r="546" spans="1:5" x14ac:dyDescent="0.25">
      <c r="A546" s="1">
        <v>46059</v>
      </c>
      <c r="B546" t="s">
        <v>831</v>
      </c>
      <c r="C546" t="s">
        <v>832</v>
      </c>
      <c r="D546">
        <v>7</v>
      </c>
      <c r="E546" t="s">
        <v>126</v>
      </c>
    </row>
    <row r="547" spans="1:5" x14ac:dyDescent="0.25">
      <c r="A547" s="1">
        <v>46059</v>
      </c>
      <c r="B547" t="s">
        <v>833</v>
      </c>
      <c r="C547" t="s">
        <v>834</v>
      </c>
      <c r="D547">
        <v>2</v>
      </c>
      <c r="E547" t="s">
        <v>126</v>
      </c>
    </row>
    <row r="548" spans="1:5" x14ac:dyDescent="0.25">
      <c r="A548" s="1">
        <v>46059</v>
      </c>
      <c r="B548" t="s">
        <v>829</v>
      </c>
      <c r="C548" t="s">
        <v>830</v>
      </c>
      <c r="D548">
        <v>4</v>
      </c>
      <c r="E548" t="s">
        <v>48</v>
      </c>
    </row>
    <row r="549" spans="1:5" x14ac:dyDescent="0.25">
      <c r="A549" s="1">
        <v>46059</v>
      </c>
      <c r="B549" t="s">
        <v>831</v>
      </c>
      <c r="C549" t="s">
        <v>832</v>
      </c>
      <c r="D549">
        <v>7</v>
      </c>
      <c r="E549" t="s">
        <v>48</v>
      </c>
    </row>
    <row r="550" spans="1:5" x14ac:dyDescent="0.25">
      <c r="A550" s="1">
        <v>46059</v>
      </c>
      <c r="B550" t="s">
        <v>833</v>
      </c>
      <c r="C550" t="s">
        <v>834</v>
      </c>
      <c r="D550">
        <v>4</v>
      </c>
      <c r="E550" t="s">
        <v>48</v>
      </c>
    </row>
    <row r="551" spans="1:5" x14ac:dyDescent="0.25">
      <c r="A551" s="1">
        <v>46059</v>
      </c>
      <c r="B551" t="s">
        <v>829</v>
      </c>
      <c r="C551" t="s">
        <v>830</v>
      </c>
      <c r="D551">
        <v>8</v>
      </c>
      <c r="E551" t="s">
        <v>21</v>
      </c>
    </row>
    <row r="552" spans="1:5" x14ac:dyDescent="0.25">
      <c r="A552" s="1">
        <v>46059</v>
      </c>
      <c r="B552" t="s">
        <v>831</v>
      </c>
      <c r="C552" t="s">
        <v>832</v>
      </c>
      <c r="D552">
        <v>4</v>
      </c>
      <c r="E552" t="s">
        <v>21</v>
      </c>
    </row>
    <row r="553" spans="1:5" x14ac:dyDescent="0.25">
      <c r="A553" s="1">
        <v>46059</v>
      </c>
      <c r="B553" t="s">
        <v>833</v>
      </c>
      <c r="C553" t="s">
        <v>834</v>
      </c>
      <c r="D553">
        <v>5</v>
      </c>
      <c r="E553" t="s">
        <v>21</v>
      </c>
    </row>
    <row r="554" spans="1:5" x14ac:dyDescent="0.25">
      <c r="A554" s="1">
        <v>46059</v>
      </c>
      <c r="B554" t="s">
        <v>829</v>
      </c>
      <c r="C554" t="s">
        <v>830</v>
      </c>
      <c r="D554">
        <v>11</v>
      </c>
      <c r="E554" t="s">
        <v>58</v>
      </c>
    </row>
    <row r="555" spans="1:5" x14ac:dyDescent="0.25">
      <c r="A555" s="1">
        <v>46059</v>
      </c>
      <c r="B555" t="s">
        <v>831</v>
      </c>
      <c r="C555" t="s">
        <v>832</v>
      </c>
      <c r="D555">
        <v>8</v>
      </c>
      <c r="E555" t="s">
        <v>58</v>
      </c>
    </row>
    <row r="556" spans="1:5" x14ac:dyDescent="0.25">
      <c r="A556" s="1">
        <v>46059</v>
      </c>
      <c r="B556" t="s">
        <v>833</v>
      </c>
      <c r="C556" t="s">
        <v>834</v>
      </c>
      <c r="D556">
        <v>1</v>
      </c>
      <c r="E556" t="s">
        <v>58</v>
      </c>
    </row>
    <row r="557" spans="1:5" x14ac:dyDescent="0.25">
      <c r="A557" s="1">
        <v>46060</v>
      </c>
      <c r="B557" t="s">
        <v>829</v>
      </c>
      <c r="C557" t="s">
        <v>830</v>
      </c>
      <c r="D557">
        <v>4</v>
      </c>
      <c r="E557" t="s">
        <v>28</v>
      </c>
    </row>
    <row r="558" spans="1:5" x14ac:dyDescent="0.25">
      <c r="A558" s="1">
        <v>46060</v>
      </c>
      <c r="B558" t="s">
        <v>831</v>
      </c>
      <c r="C558" t="s">
        <v>832</v>
      </c>
      <c r="D558">
        <v>7</v>
      </c>
      <c r="E558" t="s">
        <v>28</v>
      </c>
    </row>
    <row r="559" spans="1:5" x14ac:dyDescent="0.25">
      <c r="A559" s="1">
        <v>46060</v>
      </c>
      <c r="B559" t="s">
        <v>833</v>
      </c>
      <c r="C559" t="s">
        <v>834</v>
      </c>
      <c r="D559">
        <v>3</v>
      </c>
      <c r="E559" t="s">
        <v>28</v>
      </c>
    </row>
    <row r="560" spans="1:5" x14ac:dyDescent="0.25">
      <c r="A560" s="1">
        <v>46060</v>
      </c>
      <c r="B560" t="s">
        <v>829</v>
      </c>
      <c r="C560" t="s">
        <v>830</v>
      </c>
      <c r="D560">
        <v>4</v>
      </c>
      <c r="E560" t="s">
        <v>126</v>
      </c>
    </row>
    <row r="561" spans="1:5" x14ac:dyDescent="0.25">
      <c r="A561" s="1">
        <v>46060</v>
      </c>
      <c r="B561" t="s">
        <v>831</v>
      </c>
      <c r="C561" t="s">
        <v>832</v>
      </c>
      <c r="D561">
        <v>4</v>
      </c>
      <c r="E561" t="s">
        <v>126</v>
      </c>
    </row>
    <row r="562" spans="1:5" x14ac:dyDescent="0.25">
      <c r="A562" s="1">
        <v>46060</v>
      </c>
      <c r="B562" t="s">
        <v>833</v>
      </c>
      <c r="C562" t="s">
        <v>834</v>
      </c>
      <c r="D562">
        <v>1</v>
      </c>
      <c r="E562" t="s">
        <v>126</v>
      </c>
    </row>
    <row r="563" spans="1:5" x14ac:dyDescent="0.25">
      <c r="A563" s="1">
        <v>46060</v>
      </c>
      <c r="B563" t="s">
        <v>829</v>
      </c>
      <c r="C563" t="s">
        <v>830</v>
      </c>
      <c r="D563">
        <v>6</v>
      </c>
      <c r="E563" t="s">
        <v>48</v>
      </c>
    </row>
    <row r="564" spans="1:5" x14ac:dyDescent="0.25">
      <c r="A564" s="1">
        <v>46060</v>
      </c>
      <c r="B564" t="s">
        <v>831</v>
      </c>
      <c r="C564" t="s">
        <v>832</v>
      </c>
      <c r="D564">
        <v>5</v>
      </c>
      <c r="E564" t="s">
        <v>48</v>
      </c>
    </row>
    <row r="565" spans="1:5" x14ac:dyDescent="0.25">
      <c r="A565" s="1">
        <v>46060</v>
      </c>
      <c r="B565" t="s">
        <v>833</v>
      </c>
      <c r="C565" t="s">
        <v>834</v>
      </c>
      <c r="D565">
        <v>4</v>
      </c>
      <c r="E565" t="s">
        <v>48</v>
      </c>
    </row>
    <row r="566" spans="1:5" x14ac:dyDescent="0.25">
      <c r="A566" s="1">
        <v>46060</v>
      </c>
      <c r="B566" t="s">
        <v>829</v>
      </c>
      <c r="C566" t="s">
        <v>830</v>
      </c>
      <c r="D566">
        <v>3</v>
      </c>
      <c r="E566" t="s">
        <v>21</v>
      </c>
    </row>
    <row r="567" spans="1:5" x14ac:dyDescent="0.25">
      <c r="A567" s="1">
        <v>46060</v>
      </c>
      <c r="B567" t="s">
        <v>831</v>
      </c>
      <c r="C567" t="s">
        <v>832</v>
      </c>
      <c r="D567">
        <v>2</v>
      </c>
      <c r="E567" t="s">
        <v>21</v>
      </c>
    </row>
    <row r="568" spans="1:5" x14ac:dyDescent="0.25">
      <c r="A568" s="1">
        <v>46060</v>
      </c>
      <c r="B568" t="s">
        <v>833</v>
      </c>
      <c r="C568" t="s">
        <v>834</v>
      </c>
      <c r="D568">
        <v>4</v>
      </c>
      <c r="E568" t="s">
        <v>21</v>
      </c>
    </row>
    <row r="569" spans="1:5" x14ac:dyDescent="0.25">
      <c r="A569" s="1">
        <v>46060</v>
      </c>
      <c r="B569" t="s">
        <v>829</v>
      </c>
      <c r="C569" t="s">
        <v>830</v>
      </c>
      <c r="D569">
        <v>7</v>
      </c>
      <c r="E569" t="s">
        <v>58</v>
      </c>
    </row>
    <row r="570" spans="1:5" x14ac:dyDescent="0.25">
      <c r="A570" s="1">
        <v>46060</v>
      </c>
      <c r="B570" t="s">
        <v>831</v>
      </c>
      <c r="C570" t="s">
        <v>832</v>
      </c>
      <c r="D570">
        <v>6</v>
      </c>
      <c r="E570" t="s">
        <v>58</v>
      </c>
    </row>
    <row r="571" spans="1:5" x14ac:dyDescent="0.25">
      <c r="A571" s="1">
        <v>46060</v>
      </c>
      <c r="B571" t="s">
        <v>833</v>
      </c>
      <c r="C571" t="s">
        <v>834</v>
      </c>
      <c r="D571">
        <v>2</v>
      </c>
      <c r="E571" t="s">
        <v>58</v>
      </c>
    </row>
    <row r="572" spans="1:5" x14ac:dyDescent="0.25">
      <c r="A572" s="1">
        <v>46061</v>
      </c>
      <c r="B572" t="s">
        <v>829</v>
      </c>
      <c r="C572" t="s">
        <v>830</v>
      </c>
      <c r="D572">
        <v>7</v>
      </c>
      <c r="E572" t="s">
        <v>28</v>
      </c>
    </row>
    <row r="573" spans="1:5" x14ac:dyDescent="0.25">
      <c r="A573" s="1">
        <v>46061</v>
      </c>
      <c r="B573" t="s">
        <v>831</v>
      </c>
      <c r="C573" t="s">
        <v>832</v>
      </c>
      <c r="D573">
        <v>7</v>
      </c>
      <c r="E573" t="s">
        <v>28</v>
      </c>
    </row>
    <row r="574" spans="1:5" x14ac:dyDescent="0.25">
      <c r="A574" s="1">
        <v>46061</v>
      </c>
      <c r="B574" t="s">
        <v>833</v>
      </c>
      <c r="C574" t="s">
        <v>834</v>
      </c>
      <c r="D574">
        <v>7</v>
      </c>
      <c r="E574" t="s">
        <v>28</v>
      </c>
    </row>
    <row r="575" spans="1:5" x14ac:dyDescent="0.25">
      <c r="A575" s="1">
        <v>46061</v>
      </c>
      <c r="B575" t="s">
        <v>829</v>
      </c>
      <c r="C575" t="s">
        <v>830</v>
      </c>
      <c r="D575">
        <v>7</v>
      </c>
      <c r="E575" t="s">
        <v>126</v>
      </c>
    </row>
    <row r="576" spans="1:5" x14ac:dyDescent="0.25">
      <c r="A576" s="1">
        <v>46061</v>
      </c>
      <c r="B576" t="s">
        <v>831</v>
      </c>
      <c r="C576" t="s">
        <v>832</v>
      </c>
      <c r="D576">
        <v>2</v>
      </c>
      <c r="E576" t="s">
        <v>126</v>
      </c>
    </row>
    <row r="577" spans="1:5" x14ac:dyDescent="0.25">
      <c r="A577" s="1">
        <v>46061</v>
      </c>
      <c r="B577" t="s">
        <v>833</v>
      </c>
      <c r="C577" t="s">
        <v>834</v>
      </c>
      <c r="D577">
        <v>4</v>
      </c>
      <c r="E577" t="s">
        <v>126</v>
      </c>
    </row>
    <row r="578" spans="1:5" x14ac:dyDescent="0.25">
      <c r="A578" s="1">
        <v>46061</v>
      </c>
      <c r="B578" t="s">
        <v>829</v>
      </c>
      <c r="C578" t="s">
        <v>830</v>
      </c>
      <c r="D578">
        <v>3</v>
      </c>
      <c r="E578" t="s">
        <v>48</v>
      </c>
    </row>
    <row r="579" spans="1:5" x14ac:dyDescent="0.25">
      <c r="A579" s="1">
        <v>46061</v>
      </c>
      <c r="B579" t="s">
        <v>831</v>
      </c>
      <c r="C579" t="s">
        <v>832</v>
      </c>
      <c r="D579">
        <v>5</v>
      </c>
      <c r="E579" t="s">
        <v>48</v>
      </c>
    </row>
    <row r="580" spans="1:5" x14ac:dyDescent="0.25">
      <c r="A580" s="1">
        <v>46061</v>
      </c>
      <c r="B580" t="s">
        <v>833</v>
      </c>
      <c r="C580" t="s">
        <v>834</v>
      </c>
      <c r="D580">
        <v>2</v>
      </c>
      <c r="E580" t="s">
        <v>48</v>
      </c>
    </row>
    <row r="581" spans="1:5" x14ac:dyDescent="0.25">
      <c r="A581" s="1">
        <v>46061</v>
      </c>
      <c r="B581" t="s">
        <v>829</v>
      </c>
      <c r="C581" t="s">
        <v>830</v>
      </c>
      <c r="D581">
        <v>3</v>
      </c>
      <c r="E581" t="s">
        <v>21</v>
      </c>
    </row>
    <row r="582" spans="1:5" x14ac:dyDescent="0.25">
      <c r="A582" s="1">
        <v>46061</v>
      </c>
      <c r="B582" t="s">
        <v>831</v>
      </c>
      <c r="C582" t="s">
        <v>832</v>
      </c>
      <c r="D582">
        <v>4</v>
      </c>
      <c r="E582" t="s">
        <v>21</v>
      </c>
    </row>
    <row r="583" spans="1:5" x14ac:dyDescent="0.25">
      <c r="A583" s="1">
        <v>46061</v>
      </c>
      <c r="B583" t="s">
        <v>833</v>
      </c>
      <c r="C583" t="s">
        <v>834</v>
      </c>
      <c r="D583">
        <v>1</v>
      </c>
      <c r="E583" t="s">
        <v>21</v>
      </c>
    </row>
    <row r="584" spans="1:5" x14ac:dyDescent="0.25">
      <c r="A584" s="1">
        <v>46061</v>
      </c>
      <c r="B584" t="s">
        <v>829</v>
      </c>
      <c r="C584" t="s">
        <v>830</v>
      </c>
      <c r="D584">
        <v>7</v>
      </c>
      <c r="E584" t="s">
        <v>58</v>
      </c>
    </row>
    <row r="585" spans="1:5" x14ac:dyDescent="0.25">
      <c r="A585" s="1">
        <v>46061</v>
      </c>
      <c r="B585" t="s">
        <v>831</v>
      </c>
      <c r="C585" t="s">
        <v>832</v>
      </c>
      <c r="D585">
        <v>4</v>
      </c>
      <c r="E585" t="s">
        <v>58</v>
      </c>
    </row>
    <row r="586" spans="1:5" x14ac:dyDescent="0.25">
      <c r="A586" s="1">
        <v>46061</v>
      </c>
      <c r="B586" t="s">
        <v>833</v>
      </c>
      <c r="C586" t="s">
        <v>834</v>
      </c>
      <c r="D586">
        <v>3</v>
      </c>
      <c r="E586" t="s">
        <v>58</v>
      </c>
    </row>
    <row r="587" spans="1:5" x14ac:dyDescent="0.25">
      <c r="A587" s="1">
        <v>46062</v>
      </c>
      <c r="B587" t="s">
        <v>829</v>
      </c>
      <c r="C587" t="s">
        <v>830</v>
      </c>
      <c r="D587">
        <v>8</v>
      </c>
      <c r="E587" t="s">
        <v>28</v>
      </c>
    </row>
    <row r="588" spans="1:5" x14ac:dyDescent="0.25">
      <c r="A588" s="1">
        <v>46062</v>
      </c>
      <c r="B588" t="s">
        <v>831</v>
      </c>
      <c r="C588" t="s">
        <v>832</v>
      </c>
      <c r="D588">
        <v>8</v>
      </c>
      <c r="E588" t="s">
        <v>28</v>
      </c>
    </row>
    <row r="589" spans="1:5" x14ac:dyDescent="0.25">
      <c r="A589" s="1">
        <v>46062</v>
      </c>
      <c r="B589" t="s">
        <v>833</v>
      </c>
      <c r="C589" t="s">
        <v>834</v>
      </c>
      <c r="D589">
        <v>7</v>
      </c>
      <c r="E589" t="s">
        <v>28</v>
      </c>
    </row>
    <row r="590" spans="1:5" x14ac:dyDescent="0.25">
      <c r="A590" s="1">
        <v>46062</v>
      </c>
      <c r="B590" t="s">
        <v>829</v>
      </c>
      <c r="C590" t="s">
        <v>830</v>
      </c>
      <c r="D590">
        <v>6</v>
      </c>
      <c r="E590" t="s">
        <v>126</v>
      </c>
    </row>
    <row r="591" spans="1:5" x14ac:dyDescent="0.25">
      <c r="A591" s="1">
        <v>46062</v>
      </c>
      <c r="B591" t="s">
        <v>831</v>
      </c>
      <c r="C591" t="s">
        <v>832</v>
      </c>
      <c r="D591">
        <v>3</v>
      </c>
      <c r="E591" t="s">
        <v>126</v>
      </c>
    </row>
    <row r="592" spans="1:5" x14ac:dyDescent="0.25">
      <c r="A592" s="1">
        <v>46062</v>
      </c>
      <c r="B592" t="s">
        <v>833</v>
      </c>
      <c r="C592" t="s">
        <v>834</v>
      </c>
      <c r="D592">
        <v>5</v>
      </c>
      <c r="E592" t="s">
        <v>126</v>
      </c>
    </row>
    <row r="593" spans="1:5" x14ac:dyDescent="0.25">
      <c r="A593" s="1">
        <v>46062</v>
      </c>
      <c r="B593" t="s">
        <v>829</v>
      </c>
      <c r="C593" t="s">
        <v>830</v>
      </c>
      <c r="D593">
        <v>5</v>
      </c>
      <c r="E593" t="s">
        <v>48</v>
      </c>
    </row>
    <row r="594" spans="1:5" x14ac:dyDescent="0.25">
      <c r="A594" s="1">
        <v>46062</v>
      </c>
      <c r="B594" t="s">
        <v>831</v>
      </c>
      <c r="C594" t="s">
        <v>832</v>
      </c>
      <c r="D594">
        <v>3</v>
      </c>
      <c r="E594" t="s">
        <v>48</v>
      </c>
    </row>
    <row r="595" spans="1:5" x14ac:dyDescent="0.25">
      <c r="A595" s="1">
        <v>46062</v>
      </c>
      <c r="B595" t="s">
        <v>833</v>
      </c>
      <c r="C595" t="s">
        <v>834</v>
      </c>
      <c r="D595">
        <v>5</v>
      </c>
      <c r="E595" t="s">
        <v>48</v>
      </c>
    </row>
    <row r="596" spans="1:5" x14ac:dyDescent="0.25">
      <c r="A596" s="1">
        <v>46062</v>
      </c>
      <c r="B596" t="s">
        <v>829</v>
      </c>
      <c r="C596" t="s">
        <v>830</v>
      </c>
      <c r="D596">
        <v>5</v>
      </c>
      <c r="E596" t="s">
        <v>21</v>
      </c>
    </row>
    <row r="597" spans="1:5" x14ac:dyDescent="0.25">
      <c r="A597" s="1">
        <v>46062</v>
      </c>
      <c r="B597" t="s">
        <v>831</v>
      </c>
      <c r="C597" t="s">
        <v>832</v>
      </c>
      <c r="D597">
        <v>5</v>
      </c>
      <c r="E597" t="s">
        <v>21</v>
      </c>
    </row>
    <row r="598" spans="1:5" x14ac:dyDescent="0.25">
      <c r="A598" s="1">
        <v>46062</v>
      </c>
      <c r="B598" t="s">
        <v>833</v>
      </c>
      <c r="C598" t="s">
        <v>834</v>
      </c>
      <c r="D598">
        <v>3</v>
      </c>
      <c r="E598" t="s">
        <v>21</v>
      </c>
    </row>
    <row r="599" spans="1:5" x14ac:dyDescent="0.25">
      <c r="A599" s="1">
        <v>46062</v>
      </c>
      <c r="B599" t="s">
        <v>829</v>
      </c>
      <c r="C599" t="s">
        <v>830</v>
      </c>
      <c r="D599">
        <v>9</v>
      </c>
      <c r="E599" t="s">
        <v>58</v>
      </c>
    </row>
    <row r="600" spans="1:5" x14ac:dyDescent="0.25">
      <c r="A600" s="1">
        <v>46062</v>
      </c>
      <c r="B600" t="s">
        <v>831</v>
      </c>
      <c r="C600" t="s">
        <v>832</v>
      </c>
      <c r="D600">
        <v>8</v>
      </c>
      <c r="E600" t="s">
        <v>58</v>
      </c>
    </row>
    <row r="601" spans="1:5" x14ac:dyDescent="0.25">
      <c r="A601" s="1">
        <v>46062</v>
      </c>
      <c r="B601" t="s">
        <v>833</v>
      </c>
      <c r="C601" t="s">
        <v>834</v>
      </c>
      <c r="D601">
        <v>5</v>
      </c>
      <c r="E601" t="s">
        <v>58</v>
      </c>
    </row>
    <row r="602" spans="1:5" x14ac:dyDescent="0.25">
      <c r="A602" s="1">
        <v>46063</v>
      </c>
      <c r="B602" t="s">
        <v>829</v>
      </c>
      <c r="C602" t="s">
        <v>830</v>
      </c>
      <c r="D602">
        <v>5</v>
      </c>
      <c r="E602" t="s">
        <v>28</v>
      </c>
    </row>
    <row r="603" spans="1:5" x14ac:dyDescent="0.25">
      <c r="A603" s="1">
        <v>46063</v>
      </c>
      <c r="B603" t="s">
        <v>831</v>
      </c>
      <c r="C603" t="s">
        <v>832</v>
      </c>
      <c r="D603">
        <v>11</v>
      </c>
      <c r="E603" t="s">
        <v>28</v>
      </c>
    </row>
    <row r="604" spans="1:5" x14ac:dyDescent="0.25">
      <c r="A604" s="1">
        <v>46063</v>
      </c>
      <c r="B604" t="s">
        <v>833</v>
      </c>
      <c r="C604" t="s">
        <v>834</v>
      </c>
      <c r="D604">
        <v>4</v>
      </c>
      <c r="E604" t="s">
        <v>28</v>
      </c>
    </row>
    <row r="605" spans="1:5" x14ac:dyDescent="0.25">
      <c r="A605" s="1">
        <v>46063</v>
      </c>
      <c r="B605" t="s">
        <v>829</v>
      </c>
      <c r="C605" t="s">
        <v>830</v>
      </c>
      <c r="D605">
        <v>7</v>
      </c>
      <c r="E605" t="s">
        <v>126</v>
      </c>
    </row>
    <row r="606" spans="1:5" x14ac:dyDescent="0.25">
      <c r="A606" s="1">
        <v>46063</v>
      </c>
      <c r="B606" t="s">
        <v>831</v>
      </c>
      <c r="C606" t="s">
        <v>832</v>
      </c>
      <c r="D606">
        <v>5</v>
      </c>
      <c r="E606" t="s">
        <v>126</v>
      </c>
    </row>
    <row r="607" spans="1:5" x14ac:dyDescent="0.25">
      <c r="A607" s="1">
        <v>46063</v>
      </c>
      <c r="B607" t="s">
        <v>833</v>
      </c>
      <c r="C607" t="s">
        <v>834</v>
      </c>
      <c r="D607">
        <v>1</v>
      </c>
      <c r="E607" t="s">
        <v>126</v>
      </c>
    </row>
    <row r="608" spans="1:5" x14ac:dyDescent="0.25">
      <c r="A608" s="1">
        <v>46063</v>
      </c>
      <c r="B608" t="s">
        <v>829</v>
      </c>
      <c r="C608" t="s">
        <v>830</v>
      </c>
      <c r="D608">
        <v>5</v>
      </c>
      <c r="E608" t="s">
        <v>48</v>
      </c>
    </row>
    <row r="609" spans="1:5" x14ac:dyDescent="0.25">
      <c r="A609" s="1">
        <v>46063</v>
      </c>
      <c r="B609" t="s">
        <v>831</v>
      </c>
      <c r="C609" t="s">
        <v>832</v>
      </c>
      <c r="D609">
        <v>6</v>
      </c>
      <c r="E609" t="s">
        <v>48</v>
      </c>
    </row>
    <row r="610" spans="1:5" x14ac:dyDescent="0.25">
      <c r="A610" s="1">
        <v>46063</v>
      </c>
      <c r="B610" t="s">
        <v>833</v>
      </c>
      <c r="C610" t="s">
        <v>834</v>
      </c>
      <c r="D610">
        <v>3</v>
      </c>
      <c r="E610" t="s">
        <v>48</v>
      </c>
    </row>
    <row r="611" spans="1:5" x14ac:dyDescent="0.25">
      <c r="A611" s="1">
        <v>46063</v>
      </c>
      <c r="B611" t="s">
        <v>829</v>
      </c>
      <c r="C611" t="s">
        <v>830</v>
      </c>
      <c r="D611">
        <v>8</v>
      </c>
      <c r="E611" t="s">
        <v>21</v>
      </c>
    </row>
    <row r="612" spans="1:5" x14ac:dyDescent="0.25">
      <c r="A612" s="1">
        <v>46063</v>
      </c>
      <c r="B612" t="s">
        <v>831</v>
      </c>
      <c r="C612" t="s">
        <v>832</v>
      </c>
      <c r="D612">
        <v>5</v>
      </c>
      <c r="E612" t="s">
        <v>21</v>
      </c>
    </row>
    <row r="613" spans="1:5" x14ac:dyDescent="0.25">
      <c r="A613" s="1">
        <v>46063</v>
      </c>
      <c r="B613" t="s">
        <v>833</v>
      </c>
      <c r="C613" t="s">
        <v>834</v>
      </c>
      <c r="D613">
        <v>4</v>
      </c>
      <c r="E613" t="s">
        <v>21</v>
      </c>
    </row>
    <row r="614" spans="1:5" x14ac:dyDescent="0.25">
      <c r="A614" s="1">
        <v>46063</v>
      </c>
      <c r="B614" t="s">
        <v>829</v>
      </c>
      <c r="C614" t="s">
        <v>830</v>
      </c>
      <c r="D614">
        <v>10</v>
      </c>
      <c r="E614" t="s">
        <v>58</v>
      </c>
    </row>
    <row r="615" spans="1:5" x14ac:dyDescent="0.25">
      <c r="A615" s="1">
        <v>46063</v>
      </c>
      <c r="B615" t="s">
        <v>831</v>
      </c>
      <c r="C615" t="s">
        <v>832</v>
      </c>
      <c r="D615">
        <v>7</v>
      </c>
      <c r="E615" t="s">
        <v>58</v>
      </c>
    </row>
    <row r="616" spans="1:5" x14ac:dyDescent="0.25">
      <c r="A616" s="1">
        <v>46063</v>
      </c>
      <c r="B616" t="s">
        <v>833</v>
      </c>
      <c r="C616" t="s">
        <v>834</v>
      </c>
      <c r="D616">
        <v>1</v>
      </c>
      <c r="E616" t="s">
        <v>58</v>
      </c>
    </row>
    <row r="617" spans="1:5" x14ac:dyDescent="0.25">
      <c r="A617" s="1">
        <v>46064</v>
      </c>
      <c r="B617" t="s">
        <v>829</v>
      </c>
      <c r="C617" t="s">
        <v>830</v>
      </c>
      <c r="D617">
        <v>7</v>
      </c>
      <c r="E617" t="s">
        <v>28</v>
      </c>
    </row>
    <row r="618" spans="1:5" x14ac:dyDescent="0.25">
      <c r="A618" s="1">
        <v>46064</v>
      </c>
      <c r="B618" t="s">
        <v>831</v>
      </c>
      <c r="C618" t="s">
        <v>832</v>
      </c>
      <c r="D618">
        <v>8</v>
      </c>
      <c r="E618" t="s">
        <v>28</v>
      </c>
    </row>
    <row r="619" spans="1:5" x14ac:dyDescent="0.25">
      <c r="A619" s="1">
        <v>46064</v>
      </c>
      <c r="B619" t="s">
        <v>833</v>
      </c>
      <c r="C619" t="s">
        <v>834</v>
      </c>
      <c r="D619">
        <v>7</v>
      </c>
      <c r="E619" t="s">
        <v>28</v>
      </c>
    </row>
    <row r="620" spans="1:5" x14ac:dyDescent="0.25">
      <c r="A620" s="1">
        <v>46064</v>
      </c>
      <c r="B620" t="s">
        <v>829</v>
      </c>
      <c r="C620" t="s">
        <v>830</v>
      </c>
      <c r="D620">
        <v>4</v>
      </c>
      <c r="E620" t="s">
        <v>126</v>
      </c>
    </row>
    <row r="621" spans="1:5" x14ac:dyDescent="0.25">
      <c r="A621" s="1">
        <v>46064</v>
      </c>
      <c r="B621" t="s">
        <v>831</v>
      </c>
      <c r="C621" t="s">
        <v>832</v>
      </c>
      <c r="D621">
        <v>5</v>
      </c>
      <c r="E621" t="s">
        <v>126</v>
      </c>
    </row>
    <row r="622" spans="1:5" x14ac:dyDescent="0.25">
      <c r="A622" s="1">
        <v>46064</v>
      </c>
      <c r="B622" t="s">
        <v>833</v>
      </c>
      <c r="C622" t="s">
        <v>834</v>
      </c>
      <c r="D622">
        <v>4</v>
      </c>
      <c r="E622" t="s">
        <v>126</v>
      </c>
    </row>
    <row r="623" spans="1:5" x14ac:dyDescent="0.25">
      <c r="A623" s="1">
        <v>46064</v>
      </c>
      <c r="B623" t="s">
        <v>829</v>
      </c>
      <c r="C623" t="s">
        <v>830</v>
      </c>
      <c r="D623">
        <v>4</v>
      </c>
      <c r="E623" t="s">
        <v>48</v>
      </c>
    </row>
    <row r="624" spans="1:5" x14ac:dyDescent="0.25">
      <c r="A624" s="1">
        <v>46064</v>
      </c>
      <c r="B624" t="s">
        <v>831</v>
      </c>
      <c r="C624" t="s">
        <v>832</v>
      </c>
      <c r="D624">
        <v>7</v>
      </c>
      <c r="E624" t="s">
        <v>48</v>
      </c>
    </row>
    <row r="625" spans="1:5" x14ac:dyDescent="0.25">
      <c r="A625" s="1">
        <v>46064</v>
      </c>
      <c r="B625" t="s">
        <v>833</v>
      </c>
      <c r="C625" t="s">
        <v>834</v>
      </c>
      <c r="D625">
        <v>4</v>
      </c>
      <c r="E625" t="s">
        <v>48</v>
      </c>
    </row>
    <row r="626" spans="1:5" x14ac:dyDescent="0.25">
      <c r="A626" s="1">
        <v>46064</v>
      </c>
      <c r="B626" t="s">
        <v>829</v>
      </c>
      <c r="C626" t="s">
        <v>830</v>
      </c>
      <c r="D626">
        <v>6</v>
      </c>
      <c r="E626" t="s">
        <v>21</v>
      </c>
    </row>
    <row r="627" spans="1:5" x14ac:dyDescent="0.25">
      <c r="A627" s="1">
        <v>46064</v>
      </c>
      <c r="B627" t="s">
        <v>831</v>
      </c>
      <c r="C627" t="s">
        <v>832</v>
      </c>
      <c r="D627">
        <v>6</v>
      </c>
      <c r="E627" t="s">
        <v>21</v>
      </c>
    </row>
    <row r="628" spans="1:5" x14ac:dyDescent="0.25">
      <c r="A628" s="1">
        <v>46064</v>
      </c>
      <c r="B628" t="s">
        <v>833</v>
      </c>
      <c r="C628" t="s">
        <v>834</v>
      </c>
      <c r="D628">
        <v>2</v>
      </c>
      <c r="E628" t="s">
        <v>21</v>
      </c>
    </row>
    <row r="629" spans="1:5" x14ac:dyDescent="0.25">
      <c r="A629" s="1">
        <v>46064</v>
      </c>
      <c r="B629" t="s">
        <v>829</v>
      </c>
      <c r="C629" t="s">
        <v>830</v>
      </c>
      <c r="D629">
        <v>8</v>
      </c>
      <c r="E629" t="s">
        <v>58</v>
      </c>
    </row>
    <row r="630" spans="1:5" x14ac:dyDescent="0.25">
      <c r="A630" s="1">
        <v>46064</v>
      </c>
      <c r="B630" t="s">
        <v>831</v>
      </c>
      <c r="C630" t="s">
        <v>832</v>
      </c>
      <c r="D630">
        <v>4</v>
      </c>
      <c r="E630" t="s">
        <v>58</v>
      </c>
    </row>
    <row r="631" spans="1:5" x14ac:dyDescent="0.25">
      <c r="A631" s="1">
        <v>46064</v>
      </c>
      <c r="B631" t="s">
        <v>833</v>
      </c>
      <c r="C631" t="s">
        <v>834</v>
      </c>
      <c r="D631">
        <v>5</v>
      </c>
      <c r="E631" t="s">
        <v>58</v>
      </c>
    </row>
    <row r="632" spans="1:5" x14ac:dyDescent="0.25">
      <c r="A632" s="1">
        <v>46065</v>
      </c>
      <c r="B632" t="s">
        <v>829</v>
      </c>
      <c r="C632" t="s">
        <v>830</v>
      </c>
      <c r="D632">
        <v>6</v>
      </c>
      <c r="E632" t="s">
        <v>28</v>
      </c>
    </row>
    <row r="633" spans="1:5" x14ac:dyDescent="0.25">
      <c r="A633" s="1">
        <v>46065</v>
      </c>
      <c r="B633" t="s">
        <v>831</v>
      </c>
      <c r="C633" t="s">
        <v>832</v>
      </c>
      <c r="D633">
        <v>12</v>
      </c>
      <c r="E633" t="s">
        <v>28</v>
      </c>
    </row>
    <row r="634" spans="1:5" x14ac:dyDescent="0.25">
      <c r="A634" s="1">
        <v>46065</v>
      </c>
      <c r="B634" t="s">
        <v>833</v>
      </c>
      <c r="C634" t="s">
        <v>834</v>
      </c>
      <c r="D634">
        <v>6</v>
      </c>
      <c r="E634" t="s">
        <v>28</v>
      </c>
    </row>
    <row r="635" spans="1:5" x14ac:dyDescent="0.25">
      <c r="A635" s="1">
        <v>46065</v>
      </c>
      <c r="B635" t="s">
        <v>829</v>
      </c>
      <c r="C635" t="s">
        <v>830</v>
      </c>
      <c r="D635">
        <v>6</v>
      </c>
      <c r="E635" t="s">
        <v>126</v>
      </c>
    </row>
    <row r="636" spans="1:5" x14ac:dyDescent="0.25">
      <c r="A636" s="1">
        <v>46065</v>
      </c>
      <c r="B636" t="s">
        <v>831</v>
      </c>
      <c r="C636" t="s">
        <v>832</v>
      </c>
      <c r="D636">
        <v>4</v>
      </c>
      <c r="E636" t="s">
        <v>126</v>
      </c>
    </row>
    <row r="637" spans="1:5" x14ac:dyDescent="0.25">
      <c r="A637" s="1">
        <v>46065</v>
      </c>
      <c r="B637" t="s">
        <v>833</v>
      </c>
      <c r="C637" t="s">
        <v>834</v>
      </c>
      <c r="D637">
        <v>5</v>
      </c>
      <c r="E637" t="s">
        <v>126</v>
      </c>
    </row>
    <row r="638" spans="1:5" x14ac:dyDescent="0.25">
      <c r="A638" s="1">
        <v>46065</v>
      </c>
      <c r="B638" t="s">
        <v>829</v>
      </c>
      <c r="C638" t="s">
        <v>830</v>
      </c>
      <c r="D638">
        <v>8</v>
      </c>
      <c r="E638" t="s">
        <v>48</v>
      </c>
    </row>
    <row r="639" spans="1:5" x14ac:dyDescent="0.25">
      <c r="A639" s="1">
        <v>46065</v>
      </c>
      <c r="B639" t="s">
        <v>831</v>
      </c>
      <c r="C639" t="s">
        <v>832</v>
      </c>
      <c r="D639">
        <v>5</v>
      </c>
      <c r="E639" t="s">
        <v>48</v>
      </c>
    </row>
    <row r="640" spans="1:5" x14ac:dyDescent="0.25">
      <c r="A640" s="1">
        <v>46065</v>
      </c>
      <c r="B640" t="s">
        <v>833</v>
      </c>
      <c r="C640" t="s">
        <v>834</v>
      </c>
      <c r="D640">
        <v>1</v>
      </c>
      <c r="E640" t="s">
        <v>48</v>
      </c>
    </row>
    <row r="641" spans="1:5" x14ac:dyDescent="0.25">
      <c r="A641" s="1">
        <v>46065</v>
      </c>
      <c r="B641" t="s">
        <v>829</v>
      </c>
      <c r="C641" t="s">
        <v>830</v>
      </c>
      <c r="D641">
        <v>6</v>
      </c>
      <c r="E641" t="s">
        <v>21</v>
      </c>
    </row>
    <row r="642" spans="1:5" x14ac:dyDescent="0.25">
      <c r="A642" s="1">
        <v>46065</v>
      </c>
      <c r="B642" t="s">
        <v>831</v>
      </c>
      <c r="C642" t="s">
        <v>832</v>
      </c>
      <c r="D642">
        <v>4</v>
      </c>
      <c r="E642" t="s">
        <v>21</v>
      </c>
    </row>
    <row r="643" spans="1:5" x14ac:dyDescent="0.25">
      <c r="A643" s="1">
        <v>46065</v>
      </c>
      <c r="B643" t="s">
        <v>833</v>
      </c>
      <c r="C643" t="s">
        <v>834</v>
      </c>
      <c r="D643">
        <v>4</v>
      </c>
      <c r="E643" t="s">
        <v>21</v>
      </c>
    </row>
    <row r="644" spans="1:5" x14ac:dyDescent="0.25">
      <c r="A644" s="1">
        <v>46065</v>
      </c>
      <c r="B644" t="s">
        <v>829</v>
      </c>
      <c r="C644" t="s">
        <v>830</v>
      </c>
      <c r="D644">
        <v>10</v>
      </c>
      <c r="E644" t="s">
        <v>58</v>
      </c>
    </row>
    <row r="645" spans="1:5" x14ac:dyDescent="0.25">
      <c r="A645" s="1">
        <v>46065</v>
      </c>
      <c r="B645" t="s">
        <v>831</v>
      </c>
      <c r="C645" t="s">
        <v>832</v>
      </c>
      <c r="D645">
        <v>7</v>
      </c>
      <c r="E645" t="s">
        <v>58</v>
      </c>
    </row>
    <row r="646" spans="1:5" x14ac:dyDescent="0.25">
      <c r="A646" s="1">
        <v>46065</v>
      </c>
      <c r="B646" t="s">
        <v>833</v>
      </c>
      <c r="C646" t="s">
        <v>834</v>
      </c>
      <c r="D646">
        <v>1</v>
      </c>
      <c r="E646" t="s">
        <v>58</v>
      </c>
    </row>
    <row r="647" spans="1:5" x14ac:dyDescent="0.25">
      <c r="A647" s="1">
        <v>46066</v>
      </c>
      <c r="B647" t="s">
        <v>829</v>
      </c>
      <c r="C647" t="s">
        <v>830</v>
      </c>
      <c r="D647">
        <v>5</v>
      </c>
      <c r="E647" t="s">
        <v>28</v>
      </c>
    </row>
    <row r="648" spans="1:5" x14ac:dyDescent="0.25">
      <c r="A648" s="1">
        <v>46066</v>
      </c>
      <c r="B648" t="s">
        <v>831</v>
      </c>
      <c r="C648" t="s">
        <v>832</v>
      </c>
      <c r="D648">
        <v>11</v>
      </c>
      <c r="E648" t="s">
        <v>28</v>
      </c>
    </row>
    <row r="649" spans="1:5" x14ac:dyDescent="0.25">
      <c r="A649" s="1">
        <v>46066</v>
      </c>
      <c r="B649" t="s">
        <v>833</v>
      </c>
      <c r="C649" t="s">
        <v>834</v>
      </c>
      <c r="D649">
        <v>7</v>
      </c>
      <c r="E649" t="s">
        <v>28</v>
      </c>
    </row>
    <row r="650" spans="1:5" x14ac:dyDescent="0.25">
      <c r="A650" s="1">
        <v>46066</v>
      </c>
      <c r="B650" t="s">
        <v>829</v>
      </c>
      <c r="C650" t="s">
        <v>830</v>
      </c>
      <c r="D650">
        <v>7</v>
      </c>
      <c r="E650" t="s">
        <v>126</v>
      </c>
    </row>
    <row r="651" spans="1:5" x14ac:dyDescent="0.25">
      <c r="A651" s="1">
        <v>46066</v>
      </c>
      <c r="B651" t="s">
        <v>831</v>
      </c>
      <c r="C651" t="s">
        <v>832</v>
      </c>
      <c r="D651">
        <v>5</v>
      </c>
      <c r="E651" t="s">
        <v>126</v>
      </c>
    </row>
    <row r="652" spans="1:5" x14ac:dyDescent="0.25">
      <c r="A652" s="1">
        <v>46066</v>
      </c>
      <c r="B652" t="s">
        <v>833</v>
      </c>
      <c r="C652" t="s">
        <v>834</v>
      </c>
      <c r="D652">
        <v>2</v>
      </c>
      <c r="E652" t="s">
        <v>126</v>
      </c>
    </row>
    <row r="653" spans="1:5" x14ac:dyDescent="0.25">
      <c r="A653" s="1">
        <v>46066</v>
      </c>
      <c r="B653" t="s">
        <v>829</v>
      </c>
      <c r="C653" t="s">
        <v>830</v>
      </c>
      <c r="D653">
        <v>7</v>
      </c>
      <c r="E653" t="s">
        <v>48</v>
      </c>
    </row>
    <row r="654" spans="1:5" x14ac:dyDescent="0.25">
      <c r="A654" s="1">
        <v>46066</v>
      </c>
      <c r="B654" t="s">
        <v>831</v>
      </c>
      <c r="C654" t="s">
        <v>832</v>
      </c>
      <c r="D654">
        <v>5</v>
      </c>
      <c r="E654" t="s">
        <v>48</v>
      </c>
    </row>
    <row r="655" spans="1:5" x14ac:dyDescent="0.25">
      <c r="A655" s="1">
        <v>46066</v>
      </c>
      <c r="B655" t="s">
        <v>833</v>
      </c>
      <c r="C655" t="s">
        <v>834</v>
      </c>
      <c r="D655">
        <v>4</v>
      </c>
      <c r="E655" t="s">
        <v>48</v>
      </c>
    </row>
    <row r="656" spans="1:5" x14ac:dyDescent="0.25">
      <c r="A656" s="1">
        <v>46066</v>
      </c>
      <c r="B656" t="s">
        <v>829</v>
      </c>
      <c r="C656" t="s">
        <v>830</v>
      </c>
      <c r="D656">
        <v>6</v>
      </c>
      <c r="E656" t="s">
        <v>21</v>
      </c>
    </row>
    <row r="657" spans="1:5" x14ac:dyDescent="0.25">
      <c r="A657" s="1">
        <v>46066</v>
      </c>
      <c r="B657" t="s">
        <v>831</v>
      </c>
      <c r="C657" t="s">
        <v>832</v>
      </c>
      <c r="D657">
        <v>3</v>
      </c>
      <c r="E657" t="s">
        <v>21</v>
      </c>
    </row>
    <row r="658" spans="1:5" x14ac:dyDescent="0.25">
      <c r="A658" s="1">
        <v>46066</v>
      </c>
      <c r="B658" t="s">
        <v>833</v>
      </c>
      <c r="C658" t="s">
        <v>834</v>
      </c>
      <c r="D658">
        <v>3</v>
      </c>
      <c r="E658" t="s">
        <v>21</v>
      </c>
    </row>
    <row r="659" spans="1:5" x14ac:dyDescent="0.25">
      <c r="A659" s="1">
        <v>46066</v>
      </c>
      <c r="B659" t="s">
        <v>829</v>
      </c>
      <c r="C659" t="s">
        <v>830</v>
      </c>
      <c r="D659">
        <v>7</v>
      </c>
      <c r="E659" t="s">
        <v>58</v>
      </c>
    </row>
    <row r="660" spans="1:5" x14ac:dyDescent="0.25">
      <c r="A660" s="1">
        <v>46066</v>
      </c>
      <c r="B660" t="s">
        <v>831</v>
      </c>
      <c r="C660" t="s">
        <v>832</v>
      </c>
      <c r="D660">
        <v>6</v>
      </c>
      <c r="E660" t="s">
        <v>58</v>
      </c>
    </row>
    <row r="661" spans="1:5" x14ac:dyDescent="0.25">
      <c r="A661" s="1">
        <v>46066</v>
      </c>
      <c r="B661" t="s">
        <v>833</v>
      </c>
      <c r="C661" t="s">
        <v>834</v>
      </c>
      <c r="D661">
        <v>3</v>
      </c>
      <c r="E661" t="s">
        <v>58</v>
      </c>
    </row>
    <row r="662" spans="1:5" x14ac:dyDescent="0.25">
      <c r="A662" s="1">
        <v>46067</v>
      </c>
      <c r="B662" t="s">
        <v>829</v>
      </c>
      <c r="C662" t="s">
        <v>830</v>
      </c>
      <c r="D662">
        <v>4</v>
      </c>
      <c r="E662" t="s">
        <v>28</v>
      </c>
    </row>
    <row r="663" spans="1:5" x14ac:dyDescent="0.25">
      <c r="A663" s="1">
        <v>46067</v>
      </c>
      <c r="B663" t="s">
        <v>831</v>
      </c>
      <c r="C663" t="s">
        <v>832</v>
      </c>
      <c r="D663">
        <v>8</v>
      </c>
      <c r="E663" t="s">
        <v>28</v>
      </c>
    </row>
    <row r="664" spans="1:5" x14ac:dyDescent="0.25">
      <c r="A664" s="1">
        <v>46067</v>
      </c>
      <c r="B664" t="s">
        <v>833</v>
      </c>
      <c r="C664" t="s">
        <v>834</v>
      </c>
      <c r="D664">
        <v>3</v>
      </c>
      <c r="E664" t="s">
        <v>28</v>
      </c>
    </row>
    <row r="665" spans="1:5" x14ac:dyDescent="0.25">
      <c r="A665" s="1">
        <v>46067</v>
      </c>
      <c r="B665" t="s">
        <v>829</v>
      </c>
      <c r="C665" t="s">
        <v>830</v>
      </c>
      <c r="D665">
        <v>5</v>
      </c>
      <c r="E665" t="s">
        <v>126</v>
      </c>
    </row>
    <row r="666" spans="1:5" x14ac:dyDescent="0.25">
      <c r="A666" s="1">
        <v>46067</v>
      </c>
      <c r="B666" t="s">
        <v>831</v>
      </c>
      <c r="C666" t="s">
        <v>832</v>
      </c>
      <c r="D666">
        <v>4</v>
      </c>
      <c r="E666" t="s">
        <v>126</v>
      </c>
    </row>
    <row r="667" spans="1:5" x14ac:dyDescent="0.25">
      <c r="A667" s="1">
        <v>46067</v>
      </c>
      <c r="B667" t="s">
        <v>833</v>
      </c>
      <c r="C667" t="s">
        <v>834</v>
      </c>
      <c r="D667">
        <v>2</v>
      </c>
      <c r="E667" t="s">
        <v>126</v>
      </c>
    </row>
    <row r="668" spans="1:5" x14ac:dyDescent="0.25">
      <c r="A668" s="1">
        <v>46067</v>
      </c>
      <c r="B668" t="s">
        <v>829</v>
      </c>
      <c r="C668" t="s">
        <v>830</v>
      </c>
      <c r="D668">
        <v>3</v>
      </c>
      <c r="E668" t="s">
        <v>48</v>
      </c>
    </row>
    <row r="669" spans="1:5" x14ac:dyDescent="0.25">
      <c r="A669" s="1">
        <v>46067</v>
      </c>
      <c r="B669" t="s">
        <v>831</v>
      </c>
      <c r="C669" t="s">
        <v>832</v>
      </c>
      <c r="D669">
        <v>5</v>
      </c>
      <c r="E669" t="s">
        <v>48</v>
      </c>
    </row>
    <row r="670" spans="1:5" x14ac:dyDescent="0.25">
      <c r="A670" s="1">
        <v>46067</v>
      </c>
      <c r="B670" t="s">
        <v>833</v>
      </c>
      <c r="C670" t="s">
        <v>834</v>
      </c>
      <c r="D670">
        <v>3</v>
      </c>
      <c r="E670" t="s">
        <v>48</v>
      </c>
    </row>
    <row r="671" spans="1:5" x14ac:dyDescent="0.25">
      <c r="A671" s="1">
        <v>46067</v>
      </c>
      <c r="B671" t="s">
        <v>829</v>
      </c>
      <c r="C671" t="s">
        <v>830</v>
      </c>
      <c r="D671">
        <v>7</v>
      </c>
      <c r="E671" t="s">
        <v>21</v>
      </c>
    </row>
    <row r="672" spans="1:5" x14ac:dyDescent="0.25">
      <c r="A672" s="1">
        <v>46067</v>
      </c>
      <c r="B672" t="s">
        <v>831</v>
      </c>
      <c r="C672" t="s">
        <v>832</v>
      </c>
      <c r="D672">
        <v>2</v>
      </c>
      <c r="E672" t="s">
        <v>21</v>
      </c>
    </row>
    <row r="673" spans="1:5" x14ac:dyDescent="0.25">
      <c r="A673" s="1">
        <v>46067</v>
      </c>
      <c r="B673" t="s">
        <v>833</v>
      </c>
      <c r="C673" t="s">
        <v>834</v>
      </c>
      <c r="D673">
        <v>2</v>
      </c>
      <c r="E673" t="s">
        <v>21</v>
      </c>
    </row>
    <row r="674" spans="1:5" x14ac:dyDescent="0.25">
      <c r="A674" s="1">
        <v>46067</v>
      </c>
      <c r="B674" t="s">
        <v>829</v>
      </c>
      <c r="C674" t="s">
        <v>830</v>
      </c>
      <c r="D674">
        <v>9</v>
      </c>
      <c r="E674" t="s">
        <v>58</v>
      </c>
    </row>
    <row r="675" spans="1:5" x14ac:dyDescent="0.25">
      <c r="A675" s="1">
        <v>46067</v>
      </c>
      <c r="B675" t="s">
        <v>831</v>
      </c>
      <c r="C675" t="s">
        <v>832</v>
      </c>
      <c r="D675">
        <v>5</v>
      </c>
      <c r="E675" t="s">
        <v>58</v>
      </c>
    </row>
    <row r="676" spans="1:5" x14ac:dyDescent="0.25">
      <c r="A676" s="1">
        <v>46067</v>
      </c>
      <c r="B676" t="s">
        <v>833</v>
      </c>
      <c r="C676" t="s">
        <v>834</v>
      </c>
      <c r="D676">
        <v>1</v>
      </c>
      <c r="E676" t="s">
        <v>58</v>
      </c>
    </row>
    <row r="677" spans="1:5" x14ac:dyDescent="0.25">
      <c r="A677" s="1">
        <v>46068</v>
      </c>
      <c r="B677" t="s">
        <v>829</v>
      </c>
      <c r="C677" t="s">
        <v>830</v>
      </c>
      <c r="D677">
        <v>4</v>
      </c>
      <c r="E677" t="s">
        <v>28</v>
      </c>
    </row>
    <row r="678" spans="1:5" x14ac:dyDescent="0.25">
      <c r="A678" s="1">
        <v>46068</v>
      </c>
      <c r="B678" t="s">
        <v>831</v>
      </c>
      <c r="C678" t="s">
        <v>832</v>
      </c>
      <c r="D678">
        <v>7</v>
      </c>
      <c r="E678" t="s">
        <v>28</v>
      </c>
    </row>
    <row r="679" spans="1:5" x14ac:dyDescent="0.25">
      <c r="A679" s="1">
        <v>46068</v>
      </c>
      <c r="B679" t="s">
        <v>833</v>
      </c>
      <c r="C679" t="s">
        <v>834</v>
      </c>
      <c r="D679">
        <v>5</v>
      </c>
      <c r="E679" t="s">
        <v>28</v>
      </c>
    </row>
    <row r="680" spans="1:5" x14ac:dyDescent="0.25">
      <c r="A680" s="1">
        <v>46068</v>
      </c>
      <c r="B680" t="s">
        <v>829</v>
      </c>
      <c r="C680" t="s">
        <v>830</v>
      </c>
      <c r="D680">
        <v>4</v>
      </c>
      <c r="E680" t="s">
        <v>126</v>
      </c>
    </row>
    <row r="681" spans="1:5" x14ac:dyDescent="0.25">
      <c r="A681" s="1">
        <v>46068</v>
      </c>
      <c r="B681" t="s">
        <v>831</v>
      </c>
      <c r="C681" t="s">
        <v>832</v>
      </c>
      <c r="D681">
        <v>3</v>
      </c>
      <c r="E681" t="s">
        <v>126</v>
      </c>
    </row>
    <row r="682" spans="1:5" x14ac:dyDescent="0.25">
      <c r="A682" s="1">
        <v>46068</v>
      </c>
      <c r="B682" t="s">
        <v>833</v>
      </c>
      <c r="C682" t="s">
        <v>834</v>
      </c>
      <c r="D682">
        <v>2</v>
      </c>
      <c r="E682" t="s">
        <v>126</v>
      </c>
    </row>
    <row r="683" spans="1:5" x14ac:dyDescent="0.25">
      <c r="A683" s="1">
        <v>46068</v>
      </c>
      <c r="B683" t="s">
        <v>829</v>
      </c>
      <c r="C683" t="s">
        <v>830</v>
      </c>
      <c r="D683">
        <v>6</v>
      </c>
      <c r="E683" t="s">
        <v>48</v>
      </c>
    </row>
    <row r="684" spans="1:5" x14ac:dyDescent="0.25">
      <c r="A684" s="1">
        <v>46068</v>
      </c>
      <c r="B684" t="s">
        <v>831</v>
      </c>
      <c r="C684" t="s">
        <v>832</v>
      </c>
      <c r="D684">
        <v>6</v>
      </c>
      <c r="E684" t="s">
        <v>48</v>
      </c>
    </row>
    <row r="685" spans="1:5" x14ac:dyDescent="0.25">
      <c r="A685" s="1">
        <v>46068</v>
      </c>
      <c r="B685" t="s">
        <v>833</v>
      </c>
      <c r="C685" t="s">
        <v>834</v>
      </c>
      <c r="D685">
        <v>2</v>
      </c>
      <c r="E685" t="s">
        <v>48</v>
      </c>
    </row>
    <row r="686" spans="1:5" x14ac:dyDescent="0.25">
      <c r="A686" s="1">
        <v>46068</v>
      </c>
      <c r="B686" t="s">
        <v>829</v>
      </c>
      <c r="C686" t="s">
        <v>830</v>
      </c>
      <c r="D686">
        <v>4</v>
      </c>
      <c r="E686" t="s">
        <v>21</v>
      </c>
    </row>
    <row r="687" spans="1:5" x14ac:dyDescent="0.25">
      <c r="A687" s="1">
        <v>46068</v>
      </c>
      <c r="B687" t="s">
        <v>831</v>
      </c>
      <c r="C687" t="s">
        <v>832</v>
      </c>
      <c r="D687">
        <v>4</v>
      </c>
      <c r="E687" t="s">
        <v>21</v>
      </c>
    </row>
    <row r="688" spans="1:5" x14ac:dyDescent="0.25">
      <c r="A688" s="1">
        <v>46068</v>
      </c>
      <c r="B688" t="s">
        <v>833</v>
      </c>
      <c r="C688" t="s">
        <v>834</v>
      </c>
      <c r="D688">
        <v>3</v>
      </c>
      <c r="E688" t="s">
        <v>21</v>
      </c>
    </row>
    <row r="689" spans="1:5" x14ac:dyDescent="0.25">
      <c r="A689" s="1">
        <v>46068</v>
      </c>
      <c r="B689" t="s">
        <v>829</v>
      </c>
      <c r="C689" t="s">
        <v>830</v>
      </c>
      <c r="D689">
        <v>6</v>
      </c>
      <c r="E689" t="s">
        <v>58</v>
      </c>
    </row>
    <row r="690" spans="1:5" x14ac:dyDescent="0.25">
      <c r="A690" s="1">
        <v>46068</v>
      </c>
      <c r="B690" t="s">
        <v>831</v>
      </c>
      <c r="C690" t="s">
        <v>832</v>
      </c>
      <c r="D690">
        <v>6</v>
      </c>
      <c r="E690" t="s">
        <v>58</v>
      </c>
    </row>
    <row r="691" spans="1:5" x14ac:dyDescent="0.25">
      <c r="A691" s="1">
        <v>46068</v>
      </c>
      <c r="B691" t="s">
        <v>833</v>
      </c>
      <c r="C691" t="s">
        <v>834</v>
      </c>
      <c r="D691">
        <v>4</v>
      </c>
      <c r="E691" t="s">
        <v>58</v>
      </c>
    </row>
    <row r="692" spans="1:5" x14ac:dyDescent="0.25">
      <c r="A692" s="1">
        <v>46069</v>
      </c>
      <c r="B692" t="s">
        <v>829</v>
      </c>
      <c r="C692" t="s">
        <v>830</v>
      </c>
      <c r="D692">
        <v>5</v>
      </c>
      <c r="E692" t="s">
        <v>28</v>
      </c>
    </row>
    <row r="693" spans="1:5" x14ac:dyDescent="0.25">
      <c r="A693" s="1">
        <v>46069</v>
      </c>
      <c r="B693" t="s">
        <v>831</v>
      </c>
      <c r="C693" t="s">
        <v>832</v>
      </c>
      <c r="D693">
        <v>8</v>
      </c>
      <c r="E693" t="s">
        <v>28</v>
      </c>
    </row>
    <row r="694" spans="1:5" x14ac:dyDescent="0.25">
      <c r="A694" s="1">
        <v>46069</v>
      </c>
      <c r="B694" t="s">
        <v>833</v>
      </c>
      <c r="C694" t="s">
        <v>834</v>
      </c>
      <c r="D694">
        <v>7</v>
      </c>
      <c r="E694" t="s">
        <v>28</v>
      </c>
    </row>
    <row r="695" spans="1:5" x14ac:dyDescent="0.25">
      <c r="A695" s="1">
        <v>46069</v>
      </c>
      <c r="B695" t="s">
        <v>829</v>
      </c>
      <c r="C695" t="s">
        <v>830</v>
      </c>
      <c r="D695">
        <v>7</v>
      </c>
      <c r="E695" t="s">
        <v>126</v>
      </c>
    </row>
    <row r="696" spans="1:5" x14ac:dyDescent="0.25">
      <c r="A696" s="1">
        <v>46069</v>
      </c>
      <c r="B696" t="s">
        <v>831</v>
      </c>
      <c r="C696" t="s">
        <v>832</v>
      </c>
      <c r="D696">
        <v>7</v>
      </c>
      <c r="E696" t="s">
        <v>126</v>
      </c>
    </row>
    <row r="697" spans="1:5" x14ac:dyDescent="0.25">
      <c r="A697" s="1">
        <v>46069</v>
      </c>
      <c r="B697" t="s">
        <v>833</v>
      </c>
      <c r="C697" t="s">
        <v>834</v>
      </c>
      <c r="D697">
        <v>2</v>
      </c>
      <c r="E697" t="s">
        <v>126</v>
      </c>
    </row>
    <row r="698" spans="1:5" x14ac:dyDescent="0.25">
      <c r="A698" s="1">
        <v>46069</v>
      </c>
      <c r="B698" t="s">
        <v>829</v>
      </c>
      <c r="C698" t="s">
        <v>830</v>
      </c>
      <c r="D698">
        <v>6</v>
      </c>
      <c r="E698" t="s">
        <v>48</v>
      </c>
    </row>
    <row r="699" spans="1:5" x14ac:dyDescent="0.25">
      <c r="A699" s="1">
        <v>46069</v>
      </c>
      <c r="B699" t="s">
        <v>831</v>
      </c>
      <c r="C699" t="s">
        <v>832</v>
      </c>
      <c r="D699">
        <v>6</v>
      </c>
      <c r="E699" t="s">
        <v>48</v>
      </c>
    </row>
    <row r="700" spans="1:5" x14ac:dyDescent="0.25">
      <c r="A700" s="1">
        <v>46069</v>
      </c>
      <c r="B700" t="s">
        <v>833</v>
      </c>
      <c r="C700" t="s">
        <v>834</v>
      </c>
      <c r="D700">
        <v>1</v>
      </c>
      <c r="E700" t="s">
        <v>48</v>
      </c>
    </row>
    <row r="701" spans="1:5" x14ac:dyDescent="0.25">
      <c r="A701" s="1">
        <v>46069</v>
      </c>
      <c r="B701" t="s">
        <v>829</v>
      </c>
      <c r="C701" t="s">
        <v>830</v>
      </c>
      <c r="D701">
        <v>8</v>
      </c>
      <c r="E701" t="s">
        <v>21</v>
      </c>
    </row>
    <row r="702" spans="1:5" x14ac:dyDescent="0.25">
      <c r="A702" s="1">
        <v>46069</v>
      </c>
      <c r="B702" t="s">
        <v>831</v>
      </c>
      <c r="C702" t="s">
        <v>832</v>
      </c>
      <c r="D702">
        <v>4</v>
      </c>
      <c r="E702" t="s">
        <v>21</v>
      </c>
    </row>
    <row r="703" spans="1:5" x14ac:dyDescent="0.25">
      <c r="A703" s="1">
        <v>46069</v>
      </c>
      <c r="B703" t="s">
        <v>833</v>
      </c>
      <c r="C703" t="s">
        <v>834</v>
      </c>
      <c r="D703">
        <v>2</v>
      </c>
      <c r="E703" t="s">
        <v>21</v>
      </c>
    </row>
    <row r="704" spans="1:5" x14ac:dyDescent="0.25">
      <c r="A704" s="1">
        <v>46069</v>
      </c>
      <c r="B704" t="s">
        <v>829</v>
      </c>
      <c r="C704" t="s">
        <v>830</v>
      </c>
      <c r="D704">
        <v>10</v>
      </c>
      <c r="E704" t="s">
        <v>58</v>
      </c>
    </row>
    <row r="705" spans="1:5" x14ac:dyDescent="0.25">
      <c r="A705" s="1">
        <v>46069</v>
      </c>
      <c r="B705" t="s">
        <v>831</v>
      </c>
      <c r="C705" t="s">
        <v>832</v>
      </c>
      <c r="D705">
        <v>7</v>
      </c>
      <c r="E705" t="s">
        <v>58</v>
      </c>
    </row>
    <row r="706" spans="1:5" x14ac:dyDescent="0.25">
      <c r="A706" s="1">
        <v>46069</v>
      </c>
      <c r="B706" t="s">
        <v>833</v>
      </c>
      <c r="C706" t="s">
        <v>834</v>
      </c>
      <c r="D706">
        <v>3</v>
      </c>
      <c r="E706" t="s">
        <v>58</v>
      </c>
    </row>
    <row r="707" spans="1:5" x14ac:dyDescent="0.25">
      <c r="A707" s="1">
        <v>46070</v>
      </c>
      <c r="B707" t="s">
        <v>829</v>
      </c>
      <c r="C707" t="s">
        <v>830</v>
      </c>
      <c r="D707">
        <v>7</v>
      </c>
      <c r="E707" t="s">
        <v>28</v>
      </c>
    </row>
    <row r="708" spans="1:5" x14ac:dyDescent="0.25">
      <c r="A708" s="1">
        <v>46070</v>
      </c>
      <c r="B708" t="s">
        <v>831</v>
      </c>
      <c r="C708" t="s">
        <v>832</v>
      </c>
      <c r="D708">
        <v>10</v>
      </c>
      <c r="E708" t="s">
        <v>28</v>
      </c>
    </row>
    <row r="709" spans="1:5" x14ac:dyDescent="0.25">
      <c r="A709" s="1">
        <v>46070</v>
      </c>
      <c r="B709" t="s">
        <v>833</v>
      </c>
      <c r="C709" t="s">
        <v>834</v>
      </c>
      <c r="D709">
        <v>6</v>
      </c>
      <c r="E709" t="s">
        <v>28</v>
      </c>
    </row>
    <row r="710" spans="1:5" x14ac:dyDescent="0.25">
      <c r="A710" s="1">
        <v>46070</v>
      </c>
      <c r="B710" t="s">
        <v>829</v>
      </c>
      <c r="C710" t="s">
        <v>830</v>
      </c>
      <c r="D710">
        <v>7</v>
      </c>
      <c r="E710" t="s">
        <v>126</v>
      </c>
    </row>
    <row r="711" spans="1:5" x14ac:dyDescent="0.25">
      <c r="A711" s="1">
        <v>46070</v>
      </c>
      <c r="B711" t="s">
        <v>831</v>
      </c>
      <c r="C711" t="s">
        <v>832</v>
      </c>
      <c r="D711">
        <v>4</v>
      </c>
      <c r="E711" t="s">
        <v>126</v>
      </c>
    </row>
    <row r="712" spans="1:5" x14ac:dyDescent="0.25">
      <c r="A712" s="1">
        <v>46070</v>
      </c>
      <c r="B712" t="s">
        <v>833</v>
      </c>
      <c r="C712" t="s">
        <v>834</v>
      </c>
      <c r="D712">
        <v>3</v>
      </c>
      <c r="E712" t="s">
        <v>126</v>
      </c>
    </row>
    <row r="713" spans="1:5" x14ac:dyDescent="0.25">
      <c r="A713" s="1">
        <v>46070</v>
      </c>
      <c r="B713" t="s">
        <v>829</v>
      </c>
      <c r="C713" t="s">
        <v>830</v>
      </c>
      <c r="D713">
        <v>7</v>
      </c>
      <c r="E713" t="s">
        <v>48</v>
      </c>
    </row>
    <row r="714" spans="1:5" x14ac:dyDescent="0.25">
      <c r="A714" s="1">
        <v>46070</v>
      </c>
      <c r="B714" t="s">
        <v>831</v>
      </c>
      <c r="C714" t="s">
        <v>832</v>
      </c>
      <c r="D714">
        <v>7</v>
      </c>
      <c r="E714" t="s">
        <v>48</v>
      </c>
    </row>
    <row r="715" spans="1:5" x14ac:dyDescent="0.25">
      <c r="A715" s="1">
        <v>46070</v>
      </c>
      <c r="B715" t="s">
        <v>833</v>
      </c>
      <c r="C715" t="s">
        <v>834</v>
      </c>
      <c r="D715">
        <v>4</v>
      </c>
      <c r="E715" t="s">
        <v>48</v>
      </c>
    </row>
    <row r="716" spans="1:5" x14ac:dyDescent="0.25">
      <c r="A716" s="1">
        <v>46070</v>
      </c>
      <c r="B716" t="s">
        <v>829</v>
      </c>
      <c r="C716" t="s">
        <v>830</v>
      </c>
      <c r="D716">
        <v>4</v>
      </c>
      <c r="E716" t="s">
        <v>21</v>
      </c>
    </row>
    <row r="717" spans="1:5" x14ac:dyDescent="0.25">
      <c r="A717" s="1">
        <v>46070</v>
      </c>
      <c r="B717" t="s">
        <v>831</v>
      </c>
      <c r="C717" t="s">
        <v>832</v>
      </c>
      <c r="D717">
        <v>4</v>
      </c>
      <c r="E717" t="s">
        <v>21</v>
      </c>
    </row>
    <row r="718" spans="1:5" x14ac:dyDescent="0.25">
      <c r="A718" s="1">
        <v>46070</v>
      </c>
      <c r="B718" t="s">
        <v>833</v>
      </c>
      <c r="C718" t="s">
        <v>834</v>
      </c>
      <c r="D718">
        <v>2</v>
      </c>
      <c r="E718" t="s">
        <v>21</v>
      </c>
    </row>
    <row r="719" spans="1:5" x14ac:dyDescent="0.25">
      <c r="A719" s="1">
        <v>46070</v>
      </c>
      <c r="B719" t="s">
        <v>829</v>
      </c>
      <c r="C719" t="s">
        <v>830</v>
      </c>
      <c r="D719">
        <v>7</v>
      </c>
      <c r="E719" t="s">
        <v>58</v>
      </c>
    </row>
    <row r="720" spans="1:5" x14ac:dyDescent="0.25">
      <c r="A720" s="1">
        <v>46070</v>
      </c>
      <c r="B720" t="s">
        <v>831</v>
      </c>
      <c r="C720" t="s">
        <v>832</v>
      </c>
      <c r="D720">
        <v>5</v>
      </c>
      <c r="E720" t="s">
        <v>58</v>
      </c>
    </row>
    <row r="721" spans="1:5" x14ac:dyDescent="0.25">
      <c r="A721" s="1">
        <v>46070</v>
      </c>
      <c r="B721" t="s">
        <v>833</v>
      </c>
      <c r="C721" t="s">
        <v>834</v>
      </c>
      <c r="D721">
        <v>5</v>
      </c>
      <c r="E721" t="s">
        <v>58</v>
      </c>
    </row>
    <row r="722" spans="1:5" x14ac:dyDescent="0.25">
      <c r="A722" s="1">
        <v>46071</v>
      </c>
      <c r="B722" t="s">
        <v>829</v>
      </c>
      <c r="C722" t="s">
        <v>830</v>
      </c>
      <c r="D722">
        <v>9</v>
      </c>
      <c r="E722" t="s">
        <v>28</v>
      </c>
    </row>
    <row r="723" spans="1:5" x14ac:dyDescent="0.25">
      <c r="A723" s="1">
        <v>46071</v>
      </c>
      <c r="B723" t="s">
        <v>831</v>
      </c>
      <c r="C723" t="s">
        <v>832</v>
      </c>
      <c r="D723">
        <v>9</v>
      </c>
      <c r="E723" t="s">
        <v>28</v>
      </c>
    </row>
    <row r="724" spans="1:5" x14ac:dyDescent="0.25">
      <c r="A724" s="1">
        <v>46071</v>
      </c>
      <c r="B724" t="s">
        <v>833</v>
      </c>
      <c r="C724" t="s">
        <v>834</v>
      </c>
      <c r="D724">
        <v>7</v>
      </c>
      <c r="E724" t="s">
        <v>28</v>
      </c>
    </row>
    <row r="725" spans="1:5" x14ac:dyDescent="0.25">
      <c r="A725" s="1">
        <v>46071</v>
      </c>
      <c r="B725" t="s">
        <v>829</v>
      </c>
      <c r="C725" t="s">
        <v>830</v>
      </c>
      <c r="D725">
        <v>6</v>
      </c>
      <c r="E725" t="s">
        <v>126</v>
      </c>
    </row>
    <row r="726" spans="1:5" x14ac:dyDescent="0.25">
      <c r="A726" s="1">
        <v>46071</v>
      </c>
      <c r="B726" t="s">
        <v>831</v>
      </c>
      <c r="C726" t="s">
        <v>832</v>
      </c>
      <c r="D726">
        <v>6</v>
      </c>
      <c r="E726" t="s">
        <v>126</v>
      </c>
    </row>
    <row r="727" spans="1:5" x14ac:dyDescent="0.25">
      <c r="A727" s="1">
        <v>46071</v>
      </c>
      <c r="B727" t="s">
        <v>833</v>
      </c>
      <c r="C727" t="s">
        <v>834</v>
      </c>
      <c r="D727">
        <v>4</v>
      </c>
      <c r="E727" t="s">
        <v>126</v>
      </c>
    </row>
    <row r="728" spans="1:5" x14ac:dyDescent="0.25">
      <c r="A728" s="1">
        <v>46071</v>
      </c>
      <c r="B728" t="s">
        <v>829</v>
      </c>
      <c r="C728" t="s">
        <v>830</v>
      </c>
      <c r="D728">
        <v>5</v>
      </c>
      <c r="E728" t="s">
        <v>48</v>
      </c>
    </row>
    <row r="729" spans="1:5" x14ac:dyDescent="0.25">
      <c r="A729" s="1">
        <v>46071</v>
      </c>
      <c r="B729" t="s">
        <v>831</v>
      </c>
      <c r="C729" t="s">
        <v>832</v>
      </c>
      <c r="D729">
        <v>7</v>
      </c>
      <c r="E729" t="s">
        <v>48</v>
      </c>
    </row>
    <row r="730" spans="1:5" x14ac:dyDescent="0.25">
      <c r="A730" s="1">
        <v>46071</v>
      </c>
      <c r="B730" t="s">
        <v>833</v>
      </c>
      <c r="C730" t="s">
        <v>834</v>
      </c>
      <c r="D730">
        <v>2</v>
      </c>
      <c r="E730" t="s">
        <v>48</v>
      </c>
    </row>
    <row r="731" spans="1:5" x14ac:dyDescent="0.25">
      <c r="A731" s="1">
        <v>46071</v>
      </c>
      <c r="B731" t="s">
        <v>829</v>
      </c>
      <c r="C731" t="s">
        <v>830</v>
      </c>
      <c r="D731">
        <v>5</v>
      </c>
      <c r="E731" t="s">
        <v>21</v>
      </c>
    </row>
    <row r="732" spans="1:5" x14ac:dyDescent="0.25">
      <c r="A732" s="1">
        <v>46071</v>
      </c>
      <c r="B732" t="s">
        <v>831</v>
      </c>
      <c r="C732" t="s">
        <v>832</v>
      </c>
      <c r="D732">
        <v>3</v>
      </c>
      <c r="E732" t="s">
        <v>21</v>
      </c>
    </row>
    <row r="733" spans="1:5" x14ac:dyDescent="0.25">
      <c r="A733" s="1">
        <v>46071</v>
      </c>
      <c r="B733" t="s">
        <v>833</v>
      </c>
      <c r="C733" t="s">
        <v>834</v>
      </c>
      <c r="D733">
        <v>2</v>
      </c>
      <c r="E733" t="s">
        <v>21</v>
      </c>
    </row>
    <row r="734" spans="1:5" x14ac:dyDescent="0.25">
      <c r="A734" s="1">
        <v>46071</v>
      </c>
      <c r="B734" t="s">
        <v>829</v>
      </c>
      <c r="C734" t="s">
        <v>830</v>
      </c>
      <c r="D734">
        <v>9</v>
      </c>
      <c r="E734" t="s">
        <v>58</v>
      </c>
    </row>
    <row r="735" spans="1:5" x14ac:dyDescent="0.25">
      <c r="A735" s="1">
        <v>46071</v>
      </c>
      <c r="B735" t="s">
        <v>831</v>
      </c>
      <c r="C735" t="s">
        <v>832</v>
      </c>
      <c r="D735">
        <v>8</v>
      </c>
      <c r="E735" t="s">
        <v>58</v>
      </c>
    </row>
    <row r="736" spans="1:5" x14ac:dyDescent="0.25">
      <c r="A736" s="1">
        <v>46071</v>
      </c>
      <c r="B736" t="s">
        <v>833</v>
      </c>
      <c r="C736" t="s">
        <v>834</v>
      </c>
      <c r="D736">
        <v>1</v>
      </c>
      <c r="E736" t="s">
        <v>58</v>
      </c>
    </row>
    <row r="737" spans="1:5" x14ac:dyDescent="0.25">
      <c r="A737" s="1">
        <v>46072</v>
      </c>
      <c r="B737" t="s">
        <v>829</v>
      </c>
      <c r="C737" t="s">
        <v>830</v>
      </c>
      <c r="D737">
        <v>6</v>
      </c>
      <c r="E737" t="s">
        <v>28</v>
      </c>
    </row>
    <row r="738" spans="1:5" x14ac:dyDescent="0.25">
      <c r="A738" s="1">
        <v>46072</v>
      </c>
      <c r="B738" t="s">
        <v>831</v>
      </c>
      <c r="C738" t="s">
        <v>832</v>
      </c>
      <c r="D738">
        <v>10</v>
      </c>
      <c r="E738" t="s">
        <v>28</v>
      </c>
    </row>
    <row r="739" spans="1:5" x14ac:dyDescent="0.25">
      <c r="A739" s="1">
        <v>46072</v>
      </c>
      <c r="B739" t="s">
        <v>833</v>
      </c>
      <c r="C739" t="s">
        <v>834</v>
      </c>
      <c r="D739">
        <v>6</v>
      </c>
      <c r="E739" t="s">
        <v>28</v>
      </c>
    </row>
    <row r="740" spans="1:5" x14ac:dyDescent="0.25">
      <c r="A740" s="1">
        <v>46072</v>
      </c>
      <c r="B740" t="s">
        <v>829</v>
      </c>
      <c r="C740" t="s">
        <v>830</v>
      </c>
      <c r="D740">
        <v>8</v>
      </c>
      <c r="E740" t="s">
        <v>126</v>
      </c>
    </row>
    <row r="741" spans="1:5" x14ac:dyDescent="0.25">
      <c r="A741" s="1">
        <v>46072</v>
      </c>
      <c r="B741" t="s">
        <v>831</v>
      </c>
      <c r="C741" t="s">
        <v>832</v>
      </c>
      <c r="D741">
        <v>4</v>
      </c>
      <c r="E741" t="s">
        <v>126</v>
      </c>
    </row>
    <row r="742" spans="1:5" x14ac:dyDescent="0.25">
      <c r="A742" s="1">
        <v>46072</v>
      </c>
      <c r="B742" t="s">
        <v>833</v>
      </c>
      <c r="C742" t="s">
        <v>834</v>
      </c>
      <c r="D742">
        <v>1</v>
      </c>
      <c r="E742" t="s">
        <v>126</v>
      </c>
    </row>
    <row r="743" spans="1:5" x14ac:dyDescent="0.25">
      <c r="A743" s="1">
        <v>46072</v>
      </c>
      <c r="B743" t="s">
        <v>829</v>
      </c>
      <c r="C743" t="s">
        <v>830</v>
      </c>
      <c r="D743">
        <v>7</v>
      </c>
      <c r="E743" t="s">
        <v>48</v>
      </c>
    </row>
    <row r="744" spans="1:5" x14ac:dyDescent="0.25">
      <c r="A744" s="1">
        <v>46072</v>
      </c>
      <c r="B744" t="s">
        <v>831</v>
      </c>
      <c r="C744" t="s">
        <v>832</v>
      </c>
      <c r="D744">
        <v>6</v>
      </c>
      <c r="E744" t="s">
        <v>48</v>
      </c>
    </row>
    <row r="745" spans="1:5" x14ac:dyDescent="0.25">
      <c r="A745" s="1">
        <v>46072</v>
      </c>
      <c r="B745" t="s">
        <v>833</v>
      </c>
      <c r="C745" t="s">
        <v>834</v>
      </c>
      <c r="D745">
        <v>4</v>
      </c>
      <c r="E745" t="s">
        <v>48</v>
      </c>
    </row>
    <row r="746" spans="1:5" x14ac:dyDescent="0.25">
      <c r="A746" s="1">
        <v>46072</v>
      </c>
      <c r="B746" t="s">
        <v>829</v>
      </c>
      <c r="C746" t="s">
        <v>830</v>
      </c>
      <c r="D746">
        <v>8</v>
      </c>
      <c r="E746" t="s">
        <v>21</v>
      </c>
    </row>
    <row r="747" spans="1:5" x14ac:dyDescent="0.25">
      <c r="A747" s="1">
        <v>46072</v>
      </c>
      <c r="B747" t="s">
        <v>831</v>
      </c>
      <c r="C747" t="s">
        <v>832</v>
      </c>
      <c r="D747">
        <v>4</v>
      </c>
      <c r="E747" t="s">
        <v>21</v>
      </c>
    </row>
    <row r="748" spans="1:5" x14ac:dyDescent="0.25">
      <c r="A748" s="1">
        <v>46072</v>
      </c>
      <c r="B748" t="s">
        <v>833</v>
      </c>
      <c r="C748" t="s">
        <v>834</v>
      </c>
      <c r="D748">
        <v>4</v>
      </c>
      <c r="E748" t="s">
        <v>21</v>
      </c>
    </row>
    <row r="749" spans="1:5" x14ac:dyDescent="0.25">
      <c r="A749" s="1">
        <v>46072</v>
      </c>
      <c r="B749" t="s">
        <v>829</v>
      </c>
      <c r="C749" t="s">
        <v>830</v>
      </c>
      <c r="D749">
        <v>9</v>
      </c>
      <c r="E749" t="s">
        <v>58</v>
      </c>
    </row>
    <row r="750" spans="1:5" x14ac:dyDescent="0.25">
      <c r="A750" s="1">
        <v>46072</v>
      </c>
      <c r="B750" t="s">
        <v>831</v>
      </c>
      <c r="C750" t="s">
        <v>832</v>
      </c>
      <c r="D750">
        <v>6</v>
      </c>
      <c r="E750" t="s">
        <v>58</v>
      </c>
    </row>
    <row r="751" spans="1:5" x14ac:dyDescent="0.25">
      <c r="A751" s="1">
        <v>46072</v>
      </c>
      <c r="B751" t="s">
        <v>833</v>
      </c>
      <c r="C751" t="s">
        <v>834</v>
      </c>
      <c r="D751">
        <v>1</v>
      </c>
      <c r="E751" t="s">
        <v>58</v>
      </c>
    </row>
    <row r="752" spans="1:5" x14ac:dyDescent="0.25">
      <c r="A752" s="1">
        <v>46073</v>
      </c>
      <c r="B752" t="s">
        <v>829</v>
      </c>
      <c r="C752" t="s">
        <v>830</v>
      </c>
      <c r="D752">
        <v>7</v>
      </c>
      <c r="E752" t="s">
        <v>28</v>
      </c>
    </row>
    <row r="753" spans="1:5" x14ac:dyDescent="0.25">
      <c r="A753" s="1">
        <v>46073</v>
      </c>
      <c r="B753" t="s">
        <v>831</v>
      </c>
      <c r="C753" t="s">
        <v>832</v>
      </c>
      <c r="D753">
        <v>12</v>
      </c>
      <c r="E753" t="s">
        <v>28</v>
      </c>
    </row>
    <row r="754" spans="1:5" x14ac:dyDescent="0.25">
      <c r="A754" s="1">
        <v>46073</v>
      </c>
      <c r="B754" t="s">
        <v>833</v>
      </c>
      <c r="C754" t="s">
        <v>834</v>
      </c>
      <c r="D754">
        <v>6</v>
      </c>
      <c r="E754" t="s">
        <v>28</v>
      </c>
    </row>
    <row r="755" spans="1:5" x14ac:dyDescent="0.25">
      <c r="A755" s="1">
        <v>46073</v>
      </c>
      <c r="B755" t="s">
        <v>829</v>
      </c>
      <c r="C755" t="s">
        <v>830</v>
      </c>
      <c r="D755">
        <v>5</v>
      </c>
      <c r="E755" t="s">
        <v>126</v>
      </c>
    </row>
    <row r="756" spans="1:5" x14ac:dyDescent="0.25">
      <c r="A756" s="1">
        <v>46073</v>
      </c>
      <c r="B756" t="s">
        <v>831</v>
      </c>
      <c r="C756" t="s">
        <v>832</v>
      </c>
      <c r="D756">
        <v>7</v>
      </c>
      <c r="E756" t="s">
        <v>126</v>
      </c>
    </row>
    <row r="757" spans="1:5" x14ac:dyDescent="0.25">
      <c r="A757" s="1">
        <v>46073</v>
      </c>
      <c r="B757" t="s">
        <v>833</v>
      </c>
      <c r="C757" t="s">
        <v>834</v>
      </c>
      <c r="D757">
        <v>5</v>
      </c>
      <c r="E757" t="s">
        <v>126</v>
      </c>
    </row>
    <row r="758" spans="1:5" x14ac:dyDescent="0.25">
      <c r="A758" s="1">
        <v>46073</v>
      </c>
      <c r="B758" t="s">
        <v>829</v>
      </c>
      <c r="C758" t="s">
        <v>830</v>
      </c>
      <c r="D758">
        <v>5</v>
      </c>
      <c r="E758" t="s">
        <v>48</v>
      </c>
    </row>
    <row r="759" spans="1:5" x14ac:dyDescent="0.25">
      <c r="A759" s="1">
        <v>46073</v>
      </c>
      <c r="B759" t="s">
        <v>831</v>
      </c>
      <c r="C759" t="s">
        <v>832</v>
      </c>
      <c r="D759">
        <v>3</v>
      </c>
      <c r="E759" t="s">
        <v>48</v>
      </c>
    </row>
    <row r="760" spans="1:5" x14ac:dyDescent="0.25">
      <c r="A760" s="1">
        <v>46073</v>
      </c>
      <c r="B760" t="s">
        <v>833</v>
      </c>
      <c r="C760" t="s">
        <v>834</v>
      </c>
      <c r="D760">
        <v>3</v>
      </c>
      <c r="E760" t="s">
        <v>48</v>
      </c>
    </row>
    <row r="761" spans="1:5" x14ac:dyDescent="0.25">
      <c r="A761" s="1">
        <v>46073</v>
      </c>
      <c r="B761" t="s">
        <v>829</v>
      </c>
      <c r="C761" t="s">
        <v>830</v>
      </c>
      <c r="D761">
        <v>5</v>
      </c>
      <c r="E761" t="s">
        <v>21</v>
      </c>
    </row>
    <row r="762" spans="1:5" x14ac:dyDescent="0.25">
      <c r="A762" s="1">
        <v>46073</v>
      </c>
      <c r="B762" t="s">
        <v>831</v>
      </c>
      <c r="C762" t="s">
        <v>832</v>
      </c>
      <c r="D762">
        <v>6</v>
      </c>
      <c r="E762" t="s">
        <v>21</v>
      </c>
    </row>
    <row r="763" spans="1:5" x14ac:dyDescent="0.25">
      <c r="A763" s="1">
        <v>46073</v>
      </c>
      <c r="B763" t="s">
        <v>833</v>
      </c>
      <c r="C763" t="s">
        <v>834</v>
      </c>
      <c r="D763">
        <v>4</v>
      </c>
      <c r="E763" t="s">
        <v>21</v>
      </c>
    </row>
    <row r="764" spans="1:5" x14ac:dyDescent="0.25">
      <c r="A764" s="1">
        <v>46073</v>
      </c>
      <c r="B764" t="s">
        <v>829</v>
      </c>
      <c r="C764" t="s">
        <v>830</v>
      </c>
      <c r="D764">
        <v>10</v>
      </c>
      <c r="E764" t="s">
        <v>58</v>
      </c>
    </row>
    <row r="765" spans="1:5" x14ac:dyDescent="0.25">
      <c r="A765" s="1">
        <v>46073</v>
      </c>
      <c r="B765" t="s">
        <v>831</v>
      </c>
      <c r="C765" t="s">
        <v>832</v>
      </c>
      <c r="D765">
        <v>7</v>
      </c>
      <c r="E765" t="s">
        <v>58</v>
      </c>
    </row>
    <row r="766" spans="1:5" x14ac:dyDescent="0.25">
      <c r="A766" s="1">
        <v>46073</v>
      </c>
      <c r="B766" t="s">
        <v>833</v>
      </c>
      <c r="C766" t="s">
        <v>834</v>
      </c>
      <c r="D766">
        <v>3</v>
      </c>
      <c r="E766" t="s">
        <v>58</v>
      </c>
    </row>
    <row r="767" spans="1:5" x14ac:dyDescent="0.25">
      <c r="A767" s="1">
        <v>46074</v>
      </c>
      <c r="B767" t="s">
        <v>829</v>
      </c>
      <c r="C767" t="s">
        <v>830</v>
      </c>
      <c r="D767">
        <v>5</v>
      </c>
      <c r="E767" t="s">
        <v>28</v>
      </c>
    </row>
    <row r="768" spans="1:5" x14ac:dyDescent="0.25">
      <c r="A768" s="1">
        <v>46074</v>
      </c>
      <c r="B768" t="s">
        <v>831</v>
      </c>
      <c r="C768" t="s">
        <v>832</v>
      </c>
      <c r="D768">
        <v>7</v>
      </c>
      <c r="E768" t="s">
        <v>28</v>
      </c>
    </row>
    <row r="769" spans="1:5" x14ac:dyDescent="0.25">
      <c r="A769" s="1">
        <v>46074</v>
      </c>
      <c r="B769" t="s">
        <v>833</v>
      </c>
      <c r="C769" t="s">
        <v>834</v>
      </c>
      <c r="D769">
        <v>6</v>
      </c>
      <c r="E769" t="s">
        <v>28</v>
      </c>
    </row>
    <row r="770" spans="1:5" x14ac:dyDescent="0.25">
      <c r="A770" s="1">
        <v>46074</v>
      </c>
      <c r="B770" t="s">
        <v>829</v>
      </c>
      <c r="C770" t="s">
        <v>830</v>
      </c>
      <c r="D770">
        <v>6</v>
      </c>
      <c r="E770" t="s">
        <v>126</v>
      </c>
    </row>
    <row r="771" spans="1:5" x14ac:dyDescent="0.25">
      <c r="A771" s="1">
        <v>46074</v>
      </c>
      <c r="B771" t="s">
        <v>831</v>
      </c>
      <c r="C771" t="s">
        <v>832</v>
      </c>
      <c r="D771">
        <v>6</v>
      </c>
      <c r="E771" t="s">
        <v>126</v>
      </c>
    </row>
    <row r="772" spans="1:5" x14ac:dyDescent="0.25">
      <c r="A772" s="1">
        <v>46074</v>
      </c>
      <c r="B772" t="s">
        <v>833</v>
      </c>
      <c r="C772" t="s">
        <v>834</v>
      </c>
      <c r="D772">
        <v>3</v>
      </c>
      <c r="E772" t="s">
        <v>126</v>
      </c>
    </row>
    <row r="773" spans="1:5" x14ac:dyDescent="0.25">
      <c r="A773" s="1">
        <v>46074</v>
      </c>
      <c r="B773" t="s">
        <v>829</v>
      </c>
      <c r="C773" t="s">
        <v>830</v>
      </c>
      <c r="D773">
        <v>3</v>
      </c>
      <c r="E773" t="s">
        <v>48</v>
      </c>
    </row>
    <row r="774" spans="1:5" x14ac:dyDescent="0.25">
      <c r="A774" s="1">
        <v>46074</v>
      </c>
      <c r="B774" t="s">
        <v>831</v>
      </c>
      <c r="C774" t="s">
        <v>832</v>
      </c>
      <c r="D774">
        <v>2</v>
      </c>
      <c r="E774" t="s">
        <v>48</v>
      </c>
    </row>
    <row r="775" spans="1:5" x14ac:dyDescent="0.25">
      <c r="A775" s="1">
        <v>46074</v>
      </c>
      <c r="B775" t="s">
        <v>833</v>
      </c>
      <c r="C775" t="s">
        <v>834</v>
      </c>
      <c r="D775">
        <v>3</v>
      </c>
      <c r="E775" t="s">
        <v>48</v>
      </c>
    </row>
    <row r="776" spans="1:5" x14ac:dyDescent="0.25">
      <c r="A776" s="1">
        <v>46074</v>
      </c>
      <c r="B776" t="s">
        <v>829</v>
      </c>
      <c r="C776" t="s">
        <v>830</v>
      </c>
      <c r="D776">
        <v>7</v>
      </c>
      <c r="E776" t="s">
        <v>21</v>
      </c>
    </row>
    <row r="777" spans="1:5" x14ac:dyDescent="0.25">
      <c r="A777" s="1">
        <v>46074</v>
      </c>
      <c r="B777" t="s">
        <v>831</v>
      </c>
      <c r="C777" t="s">
        <v>832</v>
      </c>
      <c r="D777">
        <v>5</v>
      </c>
      <c r="E777" t="s">
        <v>21</v>
      </c>
    </row>
    <row r="778" spans="1:5" x14ac:dyDescent="0.25">
      <c r="A778" s="1">
        <v>46074</v>
      </c>
      <c r="B778" t="s">
        <v>833</v>
      </c>
      <c r="C778" t="s">
        <v>834</v>
      </c>
      <c r="D778">
        <v>3</v>
      </c>
      <c r="E778" t="s">
        <v>21</v>
      </c>
    </row>
    <row r="779" spans="1:5" x14ac:dyDescent="0.25">
      <c r="A779" s="1">
        <v>46074</v>
      </c>
      <c r="B779" t="s">
        <v>829</v>
      </c>
      <c r="C779" t="s">
        <v>830</v>
      </c>
      <c r="D779">
        <v>7</v>
      </c>
      <c r="E779" t="s">
        <v>58</v>
      </c>
    </row>
    <row r="780" spans="1:5" x14ac:dyDescent="0.25">
      <c r="A780" s="1">
        <v>46074</v>
      </c>
      <c r="B780" t="s">
        <v>831</v>
      </c>
      <c r="C780" t="s">
        <v>832</v>
      </c>
      <c r="D780">
        <v>3</v>
      </c>
      <c r="E780" t="s">
        <v>58</v>
      </c>
    </row>
    <row r="781" spans="1:5" x14ac:dyDescent="0.25">
      <c r="A781" s="1">
        <v>46074</v>
      </c>
      <c r="B781" t="s">
        <v>833</v>
      </c>
      <c r="C781" t="s">
        <v>834</v>
      </c>
      <c r="D781">
        <v>1</v>
      </c>
      <c r="E781" t="s">
        <v>58</v>
      </c>
    </row>
    <row r="782" spans="1:5" x14ac:dyDescent="0.25">
      <c r="A782" s="1">
        <v>46075</v>
      </c>
      <c r="B782" t="s">
        <v>829</v>
      </c>
      <c r="C782" t="s">
        <v>830</v>
      </c>
      <c r="D782">
        <v>5</v>
      </c>
      <c r="E782" t="s">
        <v>28</v>
      </c>
    </row>
    <row r="783" spans="1:5" x14ac:dyDescent="0.25">
      <c r="A783" s="1">
        <v>46075</v>
      </c>
      <c r="B783" t="s">
        <v>831</v>
      </c>
      <c r="C783" t="s">
        <v>832</v>
      </c>
      <c r="D783">
        <v>11</v>
      </c>
      <c r="E783" t="s">
        <v>28</v>
      </c>
    </row>
    <row r="784" spans="1:5" x14ac:dyDescent="0.25">
      <c r="A784" s="1">
        <v>46075</v>
      </c>
      <c r="B784" t="s">
        <v>833</v>
      </c>
      <c r="C784" t="s">
        <v>834</v>
      </c>
      <c r="D784">
        <v>3</v>
      </c>
      <c r="E784" t="s">
        <v>28</v>
      </c>
    </row>
    <row r="785" spans="1:5" x14ac:dyDescent="0.25">
      <c r="A785" s="1">
        <v>46075</v>
      </c>
      <c r="B785" t="s">
        <v>829</v>
      </c>
      <c r="C785" t="s">
        <v>830</v>
      </c>
      <c r="D785">
        <v>6</v>
      </c>
      <c r="E785" t="s">
        <v>126</v>
      </c>
    </row>
    <row r="786" spans="1:5" x14ac:dyDescent="0.25">
      <c r="A786" s="1">
        <v>46075</v>
      </c>
      <c r="B786" t="s">
        <v>831</v>
      </c>
      <c r="C786" t="s">
        <v>832</v>
      </c>
      <c r="D786">
        <v>2</v>
      </c>
      <c r="E786" t="s">
        <v>126</v>
      </c>
    </row>
    <row r="787" spans="1:5" x14ac:dyDescent="0.25">
      <c r="A787" s="1">
        <v>46075</v>
      </c>
      <c r="B787" t="s">
        <v>833</v>
      </c>
      <c r="C787" t="s">
        <v>834</v>
      </c>
      <c r="D787">
        <v>4</v>
      </c>
      <c r="E787" t="s">
        <v>126</v>
      </c>
    </row>
    <row r="788" spans="1:5" x14ac:dyDescent="0.25">
      <c r="A788" s="1">
        <v>46075</v>
      </c>
      <c r="B788" t="s">
        <v>829</v>
      </c>
      <c r="C788" t="s">
        <v>830</v>
      </c>
      <c r="D788">
        <v>3</v>
      </c>
      <c r="E788" t="s">
        <v>48</v>
      </c>
    </row>
    <row r="789" spans="1:5" x14ac:dyDescent="0.25">
      <c r="A789" s="1">
        <v>46075</v>
      </c>
      <c r="B789" t="s">
        <v>831</v>
      </c>
      <c r="C789" t="s">
        <v>832</v>
      </c>
      <c r="D789">
        <v>2</v>
      </c>
      <c r="E789" t="s">
        <v>48</v>
      </c>
    </row>
    <row r="790" spans="1:5" x14ac:dyDescent="0.25">
      <c r="A790" s="1">
        <v>46075</v>
      </c>
      <c r="B790" t="s">
        <v>833</v>
      </c>
      <c r="C790" t="s">
        <v>834</v>
      </c>
      <c r="D790">
        <v>1</v>
      </c>
      <c r="E790" t="s">
        <v>48</v>
      </c>
    </row>
    <row r="791" spans="1:5" x14ac:dyDescent="0.25">
      <c r="A791" s="1">
        <v>46075</v>
      </c>
      <c r="B791" t="s">
        <v>829</v>
      </c>
      <c r="C791" t="s">
        <v>830</v>
      </c>
      <c r="D791">
        <v>4</v>
      </c>
      <c r="E791" t="s">
        <v>21</v>
      </c>
    </row>
    <row r="792" spans="1:5" x14ac:dyDescent="0.25">
      <c r="A792" s="1">
        <v>46075</v>
      </c>
      <c r="B792" t="s">
        <v>831</v>
      </c>
      <c r="C792" t="s">
        <v>832</v>
      </c>
      <c r="D792">
        <v>6</v>
      </c>
      <c r="E792" t="s">
        <v>21</v>
      </c>
    </row>
    <row r="793" spans="1:5" x14ac:dyDescent="0.25">
      <c r="A793" s="1">
        <v>46075</v>
      </c>
      <c r="B793" t="s">
        <v>833</v>
      </c>
      <c r="C793" t="s">
        <v>834</v>
      </c>
      <c r="D793">
        <v>1</v>
      </c>
      <c r="E793" t="s">
        <v>21</v>
      </c>
    </row>
    <row r="794" spans="1:5" x14ac:dyDescent="0.25">
      <c r="A794" s="1">
        <v>46075</v>
      </c>
      <c r="B794" t="s">
        <v>829</v>
      </c>
      <c r="C794" t="s">
        <v>830</v>
      </c>
      <c r="D794">
        <v>8</v>
      </c>
      <c r="E794" t="s">
        <v>58</v>
      </c>
    </row>
    <row r="795" spans="1:5" x14ac:dyDescent="0.25">
      <c r="A795" s="1">
        <v>46075</v>
      </c>
      <c r="B795" t="s">
        <v>831</v>
      </c>
      <c r="C795" t="s">
        <v>832</v>
      </c>
      <c r="D795">
        <v>4</v>
      </c>
      <c r="E795" t="s">
        <v>58</v>
      </c>
    </row>
    <row r="796" spans="1:5" x14ac:dyDescent="0.25">
      <c r="A796" s="1">
        <v>46075</v>
      </c>
      <c r="B796" t="s">
        <v>833</v>
      </c>
      <c r="C796" t="s">
        <v>834</v>
      </c>
      <c r="D796">
        <v>2</v>
      </c>
      <c r="E796" t="s">
        <v>58</v>
      </c>
    </row>
    <row r="797" spans="1:5" x14ac:dyDescent="0.25">
      <c r="A797" s="1">
        <v>46076</v>
      </c>
      <c r="B797" t="s">
        <v>829</v>
      </c>
      <c r="C797" t="s">
        <v>830</v>
      </c>
      <c r="D797">
        <v>5</v>
      </c>
      <c r="E797" t="s">
        <v>28</v>
      </c>
    </row>
    <row r="798" spans="1:5" x14ac:dyDescent="0.25">
      <c r="A798" s="1">
        <v>46076</v>
      </c>
      <c r="B798" t="s">
        <v>831</v>
      </c>
      <c r="C798" t="s">
        <v>832</v>
      </c>
      <c r="D798">
        <v>8</v>
      </c>
      <c r="E798" t="s">
        <v>28</v>
      </c>
    </row>
    <row r="799" spans="1:5" x14ac:dyDescent="0.25">
      <c r="A799" s="1">
        <v>46076</v>
      </c>
      <c r="B799" t="s">
        <v>833</v>
      </c>
      <c r="C799" t="s">
        <v>834</v>
      </c>
      <c r="D799">
        <v>4</v>
      </c>
      <c r="E799" t="s">
        <v>28</v>
      </c>
    </row>
    <row r="800" spans="1:5" x14ac:dyDescent="0.25">
      <c r="A800" s="1">
        <v>46076</v>
      </c>
      <c r="B800" t="s">
        <v>829</v>
      </c>
      <c r="C800" t="s">
        <v>830</v>
      </c>
      <c r="D800">
        <v>6</v>
      </c>
      <c r="E800" t="s">
        <v>126</v>
      </c>
    </row>
    <row r="801" spans="1:5" x14ac:dyDescent="0.25">
      <c r="A801" s="1">
        <v>46076</v>
      </c>
      <c r="B801" t="s">
        <v>831</v>
      </c>
      <c r="C801" t="s">
        <v>832</v>
      </c>
      <c r="D801">
        <v>7</v>
      </c>
      <c r="E801" t="s">
        <v>126</v>
      </c>
    </row>
    <row r="802" spans="1:5" x14ac:dyDescent="0.25">
      <c r="A802" s="1">
        <v>46076</v>
      </c>
      <c r="B802" t="s">
        <v>833</v>
      </c>
      <c r="C802" t="s">
        <v>834</v>
      </c>
      <c r="D802">
        <v>5</v>
      </c>
      <c r="E802" t="s">
        <v>126</v>
      </c>
    </row>
    <row r="803" spans="1:5" x14ac:dyDescent="0.25">
      <c r="A803" s="1">
        <v>46076</v>
      </c>
      <c r="B803" t="s">
        <v>829</v>
      </c>
      <c r="C803" t="s">
        <v>830</v>
      </c>
      <c r="D803">
        <v>5</v>
      </c>
      <c r="E803" t="s">
        <v>48</v>
      </c>
    </row>
    <row r="804" spans="1:5" x14ac:dyDescent="0.25">
      <c r="A804" s="1">
        <v>46076</v>
      </c>
      <c r="B804" t="s">
        <v>831</v>
      </c>
      <c r="C804" t="s">
        <v>832</v>
      </c>
      <c r="D804">
        <v>6</v>
      </c>
      <c r="E804" t="s">
        <v>48</v>
      </c>
    </row>
    <row r="805" spans="1:5" x14ac:dyDescent="0.25">
      <c r="A805" s="1">
        <v>46076</v>
      </c>
      <c r="B805" t="s">
        <v>833</v>
      </c>
      <c r="C805" t="s">
        <v>834</v>
      </c>
      <c r="D805">
        <v>3</v>
      </c>
      <c r="E805" t="s">
        <v>48</v>
      </c>
    </row>
    <row r="806" spans="1:5" x14ac:dyDescent="0.25">
      <c r="A806" s="1">
        <v>46076</v>
      </c>
      <c r="B806" t="s">
        <v>829</v>
      </c>
      <c r="C806" t="s">
        <v>830</v>
      </c>
      <c r="D806">
        <v>5</v>
      </c>
      <c r="E806" t="s">
        <v>21</v>
      </c>
    </row>
    <row r="807" spans="1:5" x14ac:dyDescent="0.25">
      <c r="A807" s="1">
        <v>46076</v>
      </c>
      <c r="B807" t="s">
        <v>831</v>
      </c>
      <c r="C807" t="s">
        <v>832</v>
      </c>
      <c r="D807">
        <v>7</v>
      </c>
      <c r="E807" t="s">
        <v>21</v>
      </c>
    </row>
    <row r="808" spans="1:5" x14ac:dyDescent="0.25">
      <c r="A808" s="1">
        <v>46076</v>
      </c>
      <c r="B808" t="s">
        <v>833</v>
      </c>
      <c r="C808" t="s">
        <v>834</v>
      </c>
      <c r="D808">
        <v>1</v>
      </c>
      <c r="E808" t="s">
        <v>21</v>
      </c>
    </row>
    <row r="809" spans="1:5" x14ac:dyDescent="0.25">
      <c r="A809" s="1">
        <v>46076</v>
      </c>
      <c r="B809" t="s">
        <v>829</v>
      </c>
      <c r="C809" t="s">
        <v>830</v>
      </c>
      <c r="D809">
        <v>7</v>
      </c>
      <c r="E809" t="s">
        <v>58</v>
      </c>
    </row>
    <row r="810" spans="1:5" x14ac:dyDescent="0.25">
      <c r="A810" s="1">
        <v>46076</v>
      </c>
      <c r="B810" t="s">
        <v>831</v>
      </c>
      <c r="C810" t="s">
        <v>832</v>
      </c>
      <c r="D810">
        <v>8</v>
      </c>
      <c r="E810" t="s">
        <v>58</v>
      </c>
    </row>
    <row r="811" spans="1:5" x14ac:dyDescent="0.25">
      <c r="A811" s="1">
        <v>46076</v>
      </c>
      <c r="B811" t="s">
        <v>833</v>
      </c>
      <c r="C811" t="s">
        <v>834</v>
      </c>
      <c r="D811">
        <v>3</v>
      </c>
      <c r="E811" t="s">
        <v>58</v>
      </c>
    </row>
    <row r="812" spans="1:5" x14ac:dyDescent="0.25">
      <c r="A812" s="1">
        <v>46077</v>
      </c>
      <c r="B812" t="s">
        <v>829</v>
      </c>
      <c r="C812" t="s">
        <v>830</v>
      </c>
      <c r="D812">
        <v>7</v>
      </c>
      <c r="E812" t="s">
        <v>28</v>
      </c>
    </row>
    <row r="813" spans="1:5" x14ac:dyDescent="0.25">
      <c r="A813" s="1">
        <v>46077</v>
      </c>
      <c r="B813" t="s">
        <v>831</v>
      </c>
      <c r="C813" t="s">
        <v>832</v>
      </c>
      <c r="D813">
        <v>10</v>
      </c>
      <c r="E813" t="s">
        <v>28</v>
      </c>
    </row>
    <row r="814" spans="1:5" x14ac:dyDescent="0.25">
      <c r="A814" s="1">
        <v>46077</v>
      </c>
      <c r="B814" t="s">
        <v>833</v>
      </c>
      <c r="C814" t="s">
        <v>834</v>
      </c>
      <c r="D814">
        <v>5</v>
      </c>
      <c r="E814" t="s">
        <v>28</v>
      </c>
    </row>
    <row r="815" spans="1:5" x14ac:dyDescent="0.25">
      <c r="A815" s="1">
        <v>46077</v>
      </c>
      <c r="B815" t="s">
        <v>829</v>
      </c>
      <c r="C815" t="s">
        <v>830</v>
      </c>
      <c r="D815">
        <v>7</v>
      </c>
      <c r="E815" t="s">
        <v>126</v>
      </c>
    </row>
    <row r="816" spans="1:5" x14ac:dyDescent="0.25">
      <c r="A816" s="1">
        <v>46077</v>
      </c>
      <c r="B816" t="s">
        <v>831</v>
      </c>
      <c r="C816" t="s">
        <v>832</v>
      </c>
      <c r="D816">
        <v>7</v>
      </c>
      <c r="E816" t="s">
        <v>126</v>
      </c>
    </row>
    <row r="817" spans="1:5" x14ac:dyDescent="0.25">
      <c r="A817" s="1">
        <v>46077</v>
      </c>
      <c r="B817" t="s">
        <v>833</v>
      </c>
      <c r="C817" t="s">
        <v>834</v>
      </c>
      <c r="D817">
        <v>2</v>
      </c>
      <c r="E817" t="s">
        <v>126</v>
      </c>
    </row>
    <row r="818" spans="1:5" x14ac:dyDescent="0.25">
      <c r="A818" s="1">
        <v>46077</v>
      </c>
      <c r="B818" t="s">
        <v>829</v>
      </c>
      <c r="C818" t="s">
        <v>830</v>
      </c>
      <c r="D818">
        <v>8</v>
      </c>
      <c r="E818" t="s">
        <v>48</v>
      </c>
    </row>
    <row r="819" spans="1:5" x14ac:dyDescent="0.25">
      <c r="A819" s="1">
        <v>46077</v>
      </c>
      <c r="B819" t="s">
        <v>831</v>
      </c>
      <c r="C819" t="s">
        <v>832</v>
      </c>
      <c r="D819">
        <v>4</v>
      </c>
      <c r="E819" t="s">
        <v>48</v>
      </c>
    </row>
    <row r="820" spans="1:5" x14ac:dyDescent="0.25">
      <c r="A820" s="1">
        <v>46077</v>
      </c>
      <c r="B820" t="s">
        <v>833</v>
      </c>
      <c r="C820" t="s">
        <v>834</v>
      </c>
      <c r="D820">
        <v>1</v>
      </c>
      <c r="E820" t="s">
        <v>48</v>
      </c>
    </row>
    <row r="821" spans="1:5" x14ac:dyDescent="0.25">
      <c r="A821" s="1">
        <v>46077</v>
      </c>
      <c r="B821" t="s">
        <v>829</v>
      </c>
      <c r="C821" t="s">
        <v>830</v>
      </c>
      <c r="D821">
        <v>7</v>
      </c>
      <c r="E821" t="s">
        <v>21</v>
      </c>
    </row>
    <row r="822" spans="1:5" x14ac:dyDescent="0.25">
      <c r="A822" s="1">
        <v>46077</v>
      </c>
      <c r="B822" t="s">
        <v>831</v>
      </c>
      <c r="C822" t="s">
        <v>832</v>
      </c>
      <c r="D822">
        <v>5</v>
      </c>
      <c r="E822" t="s">
        <v>21</v>
      </c>
    </row>
    <row r="823" spans="1:5" x14ac:dyDescent="0.25">
      <c r="A823" s="1">
        <v>46077</v>
      </c>
      <c r="B823" t="s">
        <v>833</v>
      </c>
      <c r="C823" t="s">
        <v>834</v>
      </c>
      <c r="D823">
        <v>1</v>
      </c>
      <c r="E823" t="s">
        <v>21</v>
      </c>
    </row>
    <row r="824" spans="1:5" x14ac:dyDescent="0.25">
      <c r="A824" s="1">
        <v>46077</v>
      </c>
      <c r="B824" t="s">
        <v>829</v>
      </c>
      <c r="C824" t="s">
        <v>830</v>
      </c>
      <c r="D824">
        <v>7</v>
      </c>
      <c r="E824" t="s">
        <v>58</v>
      </c>
    </row>
    <row r="825" spans="1:5" x14ac:dyDescent="0.25">
      <c r="A825" s="1">
        <v>46077</v>
      </c>
      <c r="B825" t="s">
        <v>831</v>
      </c>
      <c r="C825" t="s">
        <v>832</v>
      </c>
      <c r="D825">
        <v>5</v>
      </c>
      <c r="E825" t="s">
        <v>58</v>
      </c>
    </row>
    <row r="826" spans="1:5" x14ac:dyDescent="0.25">
      <c r="A826" s="1">
        <v>46077</v>
      </c>
      <c r="B826" t="s">
        <v>833</v>
      </c>
      <c r="C826" t="s">
        <v>834</v>
      </c>
      <c r="D826">
        <v>4</v>
      </c>
      <c r="E826" t="s">
        <v>58</v>
      </c>
    </row>
    <row r="827" spans="1:5" x14ac:dyDescent="0.25">
      <c r="A827" s="1">
        <v>46078</v>
      </c>
      <c r="B827" t="s">
        <v>829</v>
      </c>
      <c r="C827" t="s">
        <v>830</v>
      </c>
      <c r="D827">
        <v>5</v>
      </c>
      <c r="E827" t="s">
        <v>28</v>
      </c>
    </row>
    <row r="828" spans="1:5" x14ac:dyDescent="0.25">
      <c r="A828" s="1">
        <v>46078</v>
      </c>
      <c r="B828" t="s">
        <v>831</v>
      </c>
      <c r="C828" t="s">
        <v>832</v>
      </c>
      <c r="D828">
        <v>10</v>
      </c>
      <c r="E828" t="s">
        <v>28</v>
      </c>
    </row>
    <row r="829" spans="1:5" x14ac:dyDescent="0.25">
      <c r="A829" s="1">
        <v>46078</v>
      </c>
      <c r="B829" t="s">
        <v>833</v>
      </c>
      <c r="C829" t="s">
        <v>834</v>
      </c>
      <c r="D829">
        <v>5</v>
      </c>
      <c r="E829" t="s">
        <v>28</v>
      </c>
    </row>
    <row r="830" spans="1:5" x14ac:dyDescent="0.25">
      <c r="A830" s="1">
        <v>46078</v>
      </c>
      <c r="B830" t="s">
        <v>829</v>
      </c>
      <c r="C830" t="s">
        <v>830</v>
      </c>
      <c r="D830">
        <v>7</v>
      </c>
      <c r="E830" t="s">
        <v>126</v>
      </c>
    </row>
    <row r="831" spans="1:5" x14ac:dyDescent="0.25">
      <c r="A831" s="1">
        <v>46078</v>
      </c>
      <c r="B831" t="s">
        <v>831</v>
      </c>
      <c r="C831" t="s">
        <v>832</v>
      </c>
      <c r="D831">
        <v>5</v>
      </c>
      <c r="E831" t="s">
        <v>126</v>
      </c>
    </row>
    <row r="832" spans="1:5" x14ac:dyDescent="0.25">
      <c r="A832" s="1">
        <v>46078</v>
      </c>
      <c r="B832" t="s">
        <v>833</v>
      </c>
      <c r="C832" t="s">
        <v>834</v>
      </c>
      <c r="D832">
        <v>2</v>
      </c>
      <c r="E832" t="s">
        <v>126</v>
      </c>
    </row>
    <row r="833" spans="1:5" x14ac:dyDescent="0.25">
      <c r="A833" s="1">
        <v>46078</v>
      </c>
      <c r="B833" t="s">
        <v>829</v>
      </c>
      <c r="C833" t="s">
        <v>830</v>
      </c>
      <c r="D833">
        <v>7</v>
      </c>
      <c r="E833" t="s">
        <v>48</v>
      </c>
    </row>
    <row r="834" spans="1:5" x14ac:dyDescent="0.25">
      <c r="A834" s="1">
        <v>46078</v>
      </c>
      <c r="B834" t="s">
        <v>831</v>
      </c>
      <c r="C834" t="s">
        <v>832</v>
      </c>
      <c r="D834">
        <v>3</v>
      </c>
      <c r="E834" t="s">
        <v>48</v>
      </c>
    </row>
    <row r="835" spans="1:5" x14ac:dyDescent="0.25">
      <c r="A835" s="1">
        <v>46078</v>
      </c>
      <c r="B835" t="s">
        <v>833</v>
      </c>
      <c r="C835" t="s">
        <v>834</v>
      </c>
      <c r="D835">
        <v>3</v>
      </c>
      <c r="E835" t="s">
        <v>48</v>
      </c>
    </row>
    <row r="836" spans="1:5" x14ac:dyDescent="0.25">
      <c r="A836" s="1">
        <v>46078</v>
      </c>
      <c r="B836" t="s">
        <v>829</v>
      </c>
      <c r="C836" t="s">
        <v>830</v>
      </c>
      <c r="D836">
        <v>7</v>
      </c>
      <c r="E836" t="s">
        <v>21</v>
      </c>
    </row>
    <row r="837" spans="1:5" x14ac:dyDescent="0.25">
      <c r="A837" s="1">
        <v>46078</v>
      </c>
      <c r="B837" t="s">
        <v>831</v>
      </c>
      <c r="C837" t="s">
        <v>832</v>
      </c>
      <c r="D837">
        <v>5</v>
      </c>
      <c r="E837" t="s">
        <v>21</v>
      </c>
    </row>
    <row r="838" spans="1:5" x14ac:dyDescent="0.25">
      <c r="A838" s="1">
        <v>46078</v>
      </c>
      <c r="B838" t="s">
        <v>833</v>
      </c>
      <c r="C838" t="s">
        <v>834</v>
      </c>
      <c r="D838">
        <v>4</v>
      </c>
      <c r="E838" t="s">
        <v>21</v>
      </c>
    </row>
    <row r="839" spans="1:5" x14ac:dyDescent="0.25">
      <c r="A839" s="1">
        <v>46078</v>
      </c>
      <c r="B839" t="s">
        <v>829</v>
      </c>
      <c r="C839" t="s">
        <v>830</v>
      </c>
      <c r="D839">
        <v>8</v>
      </c>
      <c r="E839" t="s">
        <v>58</v>
      </c>
    </row>
    <row r="840" spans="1:5" x14ac:dyDescent="0.25">
      <c r="A840" s="1">
        <v>46078</v>
      </c>
      <c r="B840" t="s">
        <v>831</v>
      </c>
      <c r="C840" t="s">
        <v>832</v>
      </c>
      <c r="D840">
        <v>4</v>
      </c>
      <c r="E840" t="s">
        <v>58</v>
      </c>
    </row>
    <row r="841" spans="1:5" x14ac:dyDescent="0.25">
      <c r="A841" s="1">
        <v>46078</v>
      </c>
      <c r="B841" t="s">
        <v>833</v>
      </c>
      <c r="C841" t="s">
        <v>834</v>
      </c>
      <c r="D841">
        <v>3</v>
      </c>
      <c r="E841" t="s">
        <v>58</v>
      </c>
    </row>
    <row r="842" spans="1:5" x14ac:dyDescent="0.25">
      <c r="A842" s="1">
        <v>46079</v>
      </c>
      <c r="B842" t="s">
        <v>829</v>
      </c>
      <c r="C842" t="s">
        <v>830</v>
      </c>
      <c r="D842">
        <v>6</v>
      </c>
      <c r="E842" t="s">
        <v>28</v>
      </c>
    </row>
    <row r="843" spans="1:5" x14ac:dyDescent="0.25">
      <c r="A843" s="1">
        <v>46079</v>
      </c>
      <c r="B843" t="s">
        <v>831</v>
      </c>
      <c r="C843" t="s">
        <v>832</v>
      </c>
      <c r="D843">
        <v>11</v>
      </c>
      <c r="E843" t="s">
        <v>28</v>
      </c>
    </row>
    <row r="844" spans="1:5" x14ac:dyDescent="0.25">
      <c r="A844" s="1">
        <v>46079</v>
      </c>
      <c r="B844" t="s">
        <v>833</v>
      </c>
      <c r="C844" t="s">
        <v>834</v>
      </c>
      <c r="D844">
        <v>5</v>
      </c>
      <c r="E844" t="s">
        <v>28</v>
      </c>
    </row>
    <row r="845" spans="1:5" x14ac:dyDescent="0.25">
      <c r="A845" s="1">
        <v>46079</v>
      </c>
      <c r="B845" t="s">
        <v>829</v>
      </c>
      <c r="C845" t="s">
        <v>830</v>
      </c>
      <c r="D845">
        <v>6</v>
      </c>
      <c r="E845" t="s">
        <v>126</v>
      </c>
    </row>
    <row r="846" spans="1:5" x14ac:dyDescent="0.25">
      <c r="A846" s="1">
        <v>46079</v>
      </c>
      <c r="B846" t="s">
        <v>831</v>
      </c>
      <c r="C846" t="s">
        <v>832</v>
      </c>
      <c r="D846">
        <v>4</v>
      </c>
      <c r="E846" t="s">
        <v>126</v>
      </c>
    </row>
    <row r="847" spans="1:5" x14ac:dyDescent="0.25">
      <c r="A847" s="1">
        <v>46079</v>
      </c>
      <c r="B847" t="s">
        <v>833</v>
      </c>
      <c r="C847" t="s">
        <v>834</v>
      </c>
      <c r="D847">
        <v>2</v>
      </c>
      <c r="E847" t="s">
        <v>126</v>
      </c>
    </row>
    <row r="848" spans="1:5" x14ac:dyDescent="0.25">
      <c r="A848" s="1">
        <v>46079</v>
      </c>
      <c r="B848" t="s">
        <v>829</v>
      </c>
      <c r="C848" t="s">
        <v>830</v>
      </c>
      <c r="D848">
        <v>7</v>
      </c>
      <c r="E848" t="s">
        <v>48</v>
      </c>
    </row>
    <row r="849" spans="1:5" x14ac:dyDescent="0.25">
      <c r="A849" s="1">
        <v>46079</v>
      </c>
      <c r="B849" t="s">
        <v>831</v>
      </c>
      <c r="C849" t="s">
        <v>832</v>
      </c>
      <c r="D849">
        <v>4</v>
      </c>
      <c r="E849" t="s">
        <v>48</v>
      </c>
    </row>
    <row r="850" spans="1:5" x14ac:dyDescent="0.25">
      <c r="A850" s="1">
        <v>46079</v>
      </c>
      <c r="B850" t="s">
        <v>833</v>
      </c>
      <c r="C850" t="s">
        <v>834</v>
      </c>
      <c r="D850">
        <v>3</v>
      </c>
      <c r="E850" t="s">
        <v>48</v>
      </c>
    </row>
    <row r="851" spans="1:5" x14ac:dyDescent="0.25">
      <c r="A851" s="1">
        <v>46079</v>
      </c>
      <c r="B851" t="s">
        <v>829</v>
      </c>
      <c r="C851" t="s">
        <v>830</v>
      </c>
      <c r="D851">
        <v>6</v>
      </c>
      <c r="E851" t="s">
        <v>21</v>
      </c>
    </row>
    <row r="852" spans="1:5" x14ac:dyDescent="0.25">
      <c r="A852" s="1">
        <v>46079</v>
      </c>
      <c r="B852" t="s">
        <v>831</v>
      </c>
      <c r="C852" t="s">
        <v>832</v>
      </c>
      <c r="D852">
        <v>3</v>
      </c>
      <c r="E852" t="s">
        <v>21</v>
      </c>
    </row>
    <row r="853" spans="1:5" x14ac:dyDescent="0.25">
      <c r="A853" s="1">
        <v>46079</v>
      </c>
      <c r="B853" t="s">
        <v>833</v>
      </c>
      <c r="C853" t="s">
        <v>834</v>
      </c>
      <c r="D853">
        <v>5</v>
      </c>
      <c r="E853" t="s">
        <v>21</v>
      </c>
    </row>
    <row r="854" spans="1:5" x14ac:dyDescent="0.25">
      <c r="A854" s="1">
        <v>46079</v>
      </c>
      <c r="B854" t="s">
        <v>829</v>
      </c>
      <c r="C854" t="s">
        <v>830</v>
      </c>
      <c r="D854">
        <v>10</v>
      </c>
      <c r="E854" t="s">
        <v>58</v>
      </c>
    </row>
    <row r="855" spans="1:5" x14ac:dyDescent="0.25">
      <c r="A855" s="1">
        <v>46079</v>
      </c>
      <c r="B855" t="s">
        <v>831</v>
      </c>
      <c r="C855" t="s">
        <v>832</v>
      </c>
      <c r="D855">
        <v>8</v>
      </c>
      <c r="E855" t="s">
        <v>58</v>
      </c>
    </row>
    <row r="856" spans="1:5" x14ac:dyDescent="0.25">
      <c r="A856" s="1">
        <v>46079</v>
      </c>
      <c r="B856" t="s">
        <v>833</v>
      </c>
      <c r="C856" t="s">
        <v>834</v>
      </c>
      <c r="D856">
        <v>2</v>
      </c>
      <c r="E856" t="s">
        <v>58</v>
      </c>
    </row>
    <row r="857" spans="1:5" x14ac:dyDescent="0.25">
      <c r="A857" s="1">
        <v>46080</v>
      </c>
      <c r="B857" t="s">
        <v>829</v>
      </c>
      <c r="C857" t="s">
        <v>830</v>
      </c>
      <c r="D857">
        <v>8</v>
      </c>
      <c r="E857" t="s">
        <v>28</v>
      </c>
    </row>
    <row r="858" spans="1:5" x14ac:dyDescent="0.25">
      <c r="A858" s="1">
        <v>46080</v>
      </c>
      <c r="B858" t="s">
        <v>831</v>
      </c>
      <c r="C858" t="s">
        <v>832</v>
      </c>
      <c r="D858">
        <v>11</v>
      </c>
      <c r="E858" t="s">
        <v>28</v>
      </c>
    </row>
    <row r="859" spans="1:5" x14ac:dyDescent="0.25">
      <c r="A859" s="1">
        <v>46080</v>
      </c>
      <c r="B859" t="s">
        <v>833</v>
      </c>
      <c r="C859" t="s">
        <v>834</v>
      </c>
      <c r="D859">
        <v>4</v>
      </c>
      <c r="E859" t="s">
        <v>28</v>
      </c>
    </row>
    <row r="860" spans="1:5" x14ac:dyDescent="0.25">
      <c r="A860" s="1">
        <v>46080</v>
      </c>
      <c r="B860" t="s">
        <v>829</v>
      </c>
      <c r="C860" t="s">
        <v>830</v>
      </c>
      <c r="D860">
        <v>8</v>
      </c>
      <c r="E860" t="s">
        <v>126</v>
      </c>
    </row>
    <row r="861" spans="1:5" x14ac:dyDescent="0.25">
      <c r="A861" s="1">
        <v>46080</v>
      </c>
      <c r="B861" t="s">
        <v>831</v>
      </c>
      <c r="C861" t="s">
        <v>832</v>
      </c>
      <c r="D861">
        <v>4</v>
      </c>
      <c r="E861" t="s">
        <v>126</v>
      </c>
    </row>
    <row r="862" spans="1:5" x14ac:dyDescent="0.25">
      <c r="A862" s="1">
        <v>46080</v>
      </c>
      <c r="B862" t="s">
        <v>833</v>
      </c>
      <c r="C862" t="s">
        <v>834</v>
      </c>
      <c r="D862">
        <v>4</v>
      </c>
      <c r="E862" t="s">
        <v>126</v>
      </c>
    </row>
    <row r="863" spans="1:5" x14ac:dyDescent="0.25">
      <c r="A863" s="1">
        <v>46080</v>
      </c>
      <c r="B863" t="s">
        <v>829</v>
      </c>
      <c r="C863" t="s">
        <v>830</v>
      </c>
      <c r="D863">
        <v>4</v>
      </c>
      <c r="E863" t="s">
        <v>48</v>
      </c>
    </row>
    <row r="864" spans="1:5" x14ac:dyDescent="0.25">
      <c r="A864" s="1">
        <v>46080</v>
      </c>
      <c r="B864" t="s">
        <v>831</v>
      </c>
      <c r="C864" t="s">
        <v>832</v>
      </c>
      <c r="D864">
        <v>4</v>
      </c>
      <c r="E864" t="s">
        <v>48</v>
      </c>
    </row>
    <row r="865" spans="1:5" x14ac:dyDescent="0.25">
      <c r="A865" s="1">
        <v>46080</v>
      </c>
      <c r="B865" t="s">
        <v>833</v>
      </c>
      <c r="C865" t="s">
        <v>834</v>
      </c>
      <c r="D865">
        <v>1</v>
      </c>
      <c r="E865" t="s">
        <v>48</v>
      </c>
    </row>
    <row r="866" spans="1:5" x14ac:dyDescent="0.25">
      <c r="A866" s="1">
        <v>46080</v>
      </c>
      <c r="B866" t="s">
        <v>829</v>
      </c>
      <c r="C866" t="s">
        <v>830</v>
      </c>
      <c r="D866">
        <v>8</v>
      </c>
      <c r="E866" t="s">
        <v>21</v>
      </c>
    </row>
    <row r="867" spans="1:5" x14ac:dyDescent="0.25">
      <c r="A867" s="1">
        <v>46080</v>
      </c>
      <c r="B867" t="s">
        <v>831</v>
      </c>
      <c r="C867" t="s">
        <v>832</v>
      </c>
      <c r="D867">
        <v>4</v>
      </c>
      <c r="E867" t="s">
        <v>21</v>
      </c>
    </row>
    <row r="868" spans="1:5" x14ac:dyDescent="0.25">
      <c r="A868" s="1">
        <v>46080</v>
      </c>
      <c r="B868" t="s">
        <v>833</v>
      </c>
      <c r="C868" t="s">
        <v>834</v>
      </c>
      <c r="D868">
        <v>4</v>
      </c>
      <c r="E868" t="s">
        <v>21</v>
      </c>
    </row>
    <row r="869" spans="1:5" x14ac:dyDescent="0.25">
      <c r="A869" s="1">
        <v>46080</v>
      </c>
      <c r="B869" t="s">
        <v>829</v>
      </c>
      <c r="C869" t="s">
        <v>830</v>
      </c>
      <c r="D869">
        <v>7</v>
      </c>
      <c r="E869" t="s">
        <v>58</v>
      </c>
    </row>
    <row r="870" spans="1:5" x14ac:dyDescent="0.25">
      <c r="A870" s="1">
        <v>46080</v>
      </c>
      <c r="B870" t="s">
        <v>831</v>
      </c>
      <c r="C870" t="s">
        <v>832</v>
      </c>
      <c r="D870">
        <v>4</v>
      </c>
      <c r="E870" t="s">
        <v>58</v>
      </c>
    </row>
    <row r="871" spans="1:5" x14ac:dyDescent="0.25">
      <c r="A871" s="1">
        <v>46080</v>
      </c>
      <c r="B871" t="s">
        <v>833</v>
      </c>
      <c r="C871" t="s">
        <v>834</v>
      </c>
      <c r="D871">
        <v>2</v>
      </c>
      <c r="E871" t="s">
        <v>58</v>
      </c>
    </row>
    <row r="872" spans="1:5" x14ac:dyDescent="0.25">
      <c r="A872" s="1">
        <v>46081</v>
      </c>
      <c r="B872" t="s">
        <v>829</v>
      </c>
      <c r="C872" t="s">
        <v>830</v>
      </c>
      <c r="D872">
        <v>7</v>
      </c>
      <c r="E872" t="s">
        <v>28</v>
      </c>
    </row>
    <row r="873" spans="1:5" x14ac:dyDescent="0.25">
      <c r="A873" s="1">
        <v>46081</v>
      </c>
      <c r="B873" t="s">
        <v>831</v>
      </c>
      <c r="C873" t="s">
        <v>832</v>
      </c>
      <c r="D873">
        <v>9</v>
      </c>
      <c r="E873" t="s">
        <v>28</v>
      </c>
    </row>
    <row r="874" spans="1:5" x14ac:dyDescent="0.25">
      <c r="A874" s="1">
        <v>46081</v>
      </c>
      <c r="B874" t="s">
        <v>833</v>
      </c>
      <c r="C874" t="s">
        <v>834</v>
      </c>
      <c r="D874">
        <v>3</v>
      </c>
      <c r="E874" t="s">
        <v>28</v>
      </c>
    </row>
    <row r="875" spans="1:5" x14ac:dyDescent="0.25">
      <c r="A875" s="1">
        <v>46081</v>
      </c>
      <c r="B875" t="s">
        <v>829</v>
      </c>
      <c r="C875" t="s">
        <v>830</v>
      </c>
      <c r="D875">
        <v>3</v>
      </c>
      <c r="E875" t="s">
        <v>126</v>
      </c>
    </row>
    <row r="876" spans="1:5" x14ac:dyDescent="0.25">
      <c r="A876" s="1">
        <v>46081</v>
      </c>
      <c r="B876" t="s">
        <v>831</v>
      </c>
      <c r="C876" t="s">
        <v>832</v>
      </c>
      <c r="D876">
        <v>3</v>
      </c>
      <c r="E876" t="s">
        <v>126</v>
      </c>
    </row>
    <row r="877" spans="1:5" x14ac:dyDescent="0.25">
      <c r="A877" s="1">
        <v>46081</v>
      </c>
      <c r="B877" t="s">
        <v>833</v>
      </c>
      <c r="C877" t="s">
        <v>834</v>
      </c>
      <c r="D877">
        <v>2</v>
      </c>
      <c r="E877" t="s">
        <v>126</v>
      </c>
    </row>
    <row r="878" spans="1:5" x14ac:dyDescent="0.25">
      <c r="A878" s="1">
        <v>46081</v>
      </c>
      <c r="B878" t="s">
        <v>829</v>
      </c>
      <c r="C878" t="s">
        <v>830</v>
      </c>
      <c r="D878">
        <v>4</v>
      </c>
      <c r="E878" t="s">
        <v>48</v>
      </c>
    </row>
    <row r="879" spans="1:5" x14ac:dyDescent="0.25">
      <c r="A879" s="1">
        <v>46081</v>
      </c>
      <c r="B879" t="s">
        <v>831</v>
      </c>
      <c r="C879" t="s">
        <v>832</v>
      </c>
      <c r="D879">
        <v>3</v>
      </c>
      <c r="E879" t="s">
        <v>48</v>
      </c>
    </row>
    <row r="880" spans="1:5" x14ac:dyDescent="0.25">
      <c r="A880" s="1">
        <v>46081</v>
      </c>
      <c r="B880" t="s">
        <v>833</v>
      </c>
      <c r="C880" t="s">
        <v>834</v>
      </c>
      <c r="D880">
        <v>4</v>
      </c>
      <c r="E880" t="s">
        <v>48</v>
      </c>
    </row>
    <row r="881" spans="1:5" x14ac:dyDescent="0.25">
      <c r="A881" s="1">
        <v>46081</v>
      </c>
      <c r="B881" t="s">
        <v>829</v>
      </c>
      <c r="C881" t="s">
        <v>830</v>
      </c>
      <c r="D881">
        <v>6</v>
      </c>
      <c r="E881" t="s">
        <v>21</v>
      </c>
    </row>
    <row r="882" spans="1:5" x14ac:dyDescent="0.25">
      <c r="A882" s="1">
        <v>46081</v>
      </c>
      <c r="B882" t="s">
        <v>831</v>
      </c>
      <c r="C882" t="s">
        <v>832</v>
      </c>
      <c r="D882">
        <v>2</v>
      </c>
      <c r="E882" t="s">
        <v>21</v>
      </c>
    </row>
    <row r="883" spans="1:5" x14ac:dyDescent="0.25">
      <c r="A883" s="1">
        <v>46081</v>
      </c>
      <c r="B883" t="s">
        <v>833</v>
      </c>
      <c r="C883" t="s">
        <v>834</v>
      </c>
      <c r="D883">
        <v>2</v>
      </c>
      <c r="E883" t="s">
        <v>21</v>
      </c>
    </row>
    <row r="884" spans="1:5" x14ac:dyDescent="0.25">
      <c r="A884" s="1">
        <v>46081</v>
      </c>
      <c r="B884" t="s">
        <v>829</v>
      </c>
      <c r="C884" t="s">
        <v>830</v>
      </c>
      <c r="D884">
        <v>9</v>
      </c>
      <c r="E884" t="s">
        <v>58</v>
      </c>
    </row>
    <row r="885" spans="1:5" x14ac:dyDescent="0.25">
      <c r="A885" s="1">
        <v>46081</v>
      </c>
      <c r="B885" t="s">
        <v>831</v>
      </c>
      <c r="C885" t="s">
        <v>832</v>
      </c>
      <c r="D885">
        <v>5</v>
      </c>
      <c r="E885" t="s">
        <v>58</v>
      </c>
    </row>
    <row r="886" spans="1:5" x14ac:dyDescent="0.25">
      <c r="A886" s="1">
        <v>46081</v>
      </c>
      <c r="B886" t="s">
        <v>833</v>
      </c>
      <c r="C886" t="s">
        <v>834</v>
      </c>
      <c r="D886">
        <v>2</v>
      </c>
      <c r="E886" t="s">
        <v>58</v>
      </c>
    </row>
    <row r="887" spans="1:5" x14ac:dyDescent="0.25">
      <c r="A887" s="1">
        <v>46082</v>
      </c>
      <c r="B887" t="s">
        <v>829</v>
      </c>
      <c r="C887" t="s">
        <v>830</v>
      </c>
      <c r="D887">
        <v>5</v>
      </c>
      <c r="E887" t="s">
        <v>28</v>
      </c>
    </row>
    <row r="888" spans="1:5" x14ac:dyDescent="0.25">
      <c r="A888" s="1">
        <v>46082</v>
      </c>
      <c r="B888" t="s">
        <v>831</v>
      </c>
      <c r="C888" t="s">
        <v>832</v>
      </c>
      <c r="D888">
        <v>7</v>
      </c>
      <c r="E888" t="s">
        <v>28</v>
      </c>
    </row>
    <row r="889" spans="1:5" x14ac:dyDescent="0.25">
      <c r="A889" s="1">
        <v>46082</v>
      </c>
      <c r="B889" t="s">
        <v>833</v>
      </c>
      <c r="C889" t="s">
        <v>834</v>
      </c>
      <c r="D889">
        <v>3</v>
      </c>
      <c r="E889" t="s">
        <v>28</v>
      </c>
    </row>
    <row r="890" spans="1:5" x14ac:dyDescent="0.25">
      <c r="A890" s="1">
        <v>46082</v>
      </c>
      <c r="B890" t="s">
        <v>829</v>
      </c>
      <c r="C890" t="s">
        <v>830</v>
      </c>
      <c r="D890">
        <v>3</v>
      </c>
      <c r="E890" t="s">
        <v>126</v>
      </c>
    </row>
    <row r="891" spans="1:5" x14ac:dyDescent="0.25">
      <c r="A891" s="1">
        <v>46082</v>
      </c>
      <c r="B891" t="s">
        <v>831</v>
      </c>
      <c r="C891" t="s">
        <v>832</v>
      </c>
      <c r="D891">
        <v>4</v>
      </c>
      <c r="E891" t="s">
        <v>126</v>
      </c>
    </row>
    <row r="892" spans="1:5" x14ac:dyDescent="0.25">
      <c r="A892" s="1">
        <v>46082</v>
      </c>
      <c r="B892" t="s">
        <v>833</v>
      </c>
      <c r="C892" t="s">
        <v>834</v>
      </c>
      <c r="D892">
        <v>1</v>
      </c>
      <c r="E892" t="s">
        <v>126</v>
      </c>
    </row>
    <row r="893" spans="1:5" x14ac:dyDescent="0.25">
      <c r="A893" s="1">
        <v>46082</v>
      </c>
      <c r="B893" t="s">
        <v>829</v>
      </c>
      <c r="C893" t="s">
        <v>830</v>
      </c>
      <c r="D893">
        <v>5</v>
      </c>
      <c r="E893" t="s">
        <v>48</v>
      </c>
    </row>
    <row r="894" spans="1:5" x14ac:dyDescent="0.25">
      <c r="A894" s="1">
        <v>46082</v>
      </c>
      <c r="B894" t="s">
        <v>831</v>
      </c>
      <c r="C894" t="s">
        <v>832</v>
      </c>
      <c r="D894">
        <v>5</v>
      </c>
      <c r="E894" t="s">
        <v>48</v>
      </c>
    </row>
    <row r="895" spans="1:5" x14ac:dyDescent="0.25">
      <c r="A895" s="1">
        <v>46082</v>
      </c>
      <c r="B895" t="s">
        <v>833</v>
      </c>
      <c r="C895" t="s">
        <v>834</v>
      </c>
      <c r="D895">
        <v>1</v>
      </c>
      <c r="E895" t="s">
        <v>48</v>
      </c>
    </row>
    <row r="896" spans="1:5" x14ac:dyDescent="0.25">
      <c r="A896" s="1">
        <v>46082</v>
      </c>
      <c r="B896" t="s">
        <v>829</v>
      </c>
      <c r="C896" t="s">
        <v>830</v>
      </c>
      <c r="D896">
        <v>7</v>
      </c>
      <c r="E896" t="s">
        <v>21</v>
      </c>
    </row>
    <row r="897" spans="1:5" x14ac:dyDescent="0.25">
      <c r="A897" s="1">
        <v>46082</v>
      </c>
      <c r="B897" t="s">
        <v>831</v>
      </c>
      <c r="C897" t="s">
        <v>832</v>
      </c>
      <c r="D897">
        <v>3</v>
      </c>
      <c r="E897" t="s">
        <v>21</v>
      </c>
    </row>
    <row r="898" spans="1:5" x14ac:dyDescent="0.25">
      <c r="A898" s="1">
        <v>46082</v>
      </c>
      <c r="B898" t="s">
        <v>833</v>
      </c>
      <c r="C898" t="s">
        <v>834</v>
      </c>
      <c r="D898">
        <v>3</v>
      </c>
      <c r="E898" t="s">
        <v>21</v>
      </c>
    </row>
    <row r="899" spans="1:5" x14ac:dyDescent="0.25">
      <c r="A899" s="1">
        <v>46082</v>
      </c>
      <c r="B899" t="s">
        <v>829</v>
      </c>
      <c r="C899" t="s">
        <v>830</v>
      </c>
      <c r="D899">
        <v>8</v>
      </c>
      <c r="E899" t="s">
        <v>58</v>
      </c>
    </row>
    <row r="900" spans="1:5" x14ac:dyDescent="0.25">
      <c r="A900" s="1">
        <v>46082</v>
      </c>
      <c r="B900" t="s">
        <v>831</v>
      </c>
      <c r="C900" t="s">
        <v>832</v>
      </c>
      <c r="D900">
        <v>5</v>
      </c>
      <c r="E900" t="s">
        <v>58</v>
      </c>
    </row>
    <row r="901" spans="1:5" x14ac:dyDescent="0.25">
      <c r="A901" s="1">
        <v>46082</v>
      </c>
      <c r="B901" t="s">
        <v>833</v>
      </c>
      <c r="C901" t="s">
        <v>834</v>
      </c>
      <c r="D901">
        <v>3</v>
      </c>
      <c r="E901" t="s">
        <v>58</v>
      </c>
    </row>
    <row r="902" spans="1:5" x14ac:dyDescent="0.25">
      <c r="A902" s="1">
        <v>46083</v>
      </c>
      <c r="B902" t="s">
        <v>829</v>
      </c>
      <c r="C902" t="s">
        <v>830</v>
      </c>
      <c r="D902">
        <v>5</v>
      </c>
      <c r="E902" t="s">
        <v>28</v>
      </c>
    </row>
    <row r="903" spans="1:5" x14ac:dyDescent="0.25">
      <c r="A903" s="1">
        <v>46083</v>
      </c>
      <c r="B903" t="s">
        <v>831</v>
      </c>
      <c r="C903" t="s">
        <v>832</v>
      </c>
      <c r="D903">
        <v>11</v>
      </c>
      <c r="E903" t="s">
        <v>28</v>
      </c>
    </row>
    <row r="904" spans="1:5" x14ac:dyDescent="0.25">
      <c r="A904" s="1">
        <v>46083</v>
      </c>
      <c r="B904" t="s">
        <v>833</v>
      </c>
      <c r="C904" t="s">
        <v>834</v>
      </c>
      <c r="D904">
        <v>5</v>
      </c>
      <c r="E904" t="s">
        <v>28</v>
      </c>
    </row>
    <row r="905" spans="1:5" x14ac:dyDescent="0.25">
      <c r="A905" s="1">
        <v>46083</v>
      </c>
      <c r="B905" t="s">
        <v>829</v>
      </c>
      <c r="C905" t="s">
        <v>830</v>
      </c>
      <c r="D905">
        <v>6</v>
      </c>
      <c r="E905" t="s">
        <v>126</v>
      </c>
    </row>
    <row r="906" spans="1:5" x14ac:dyDescent="0.25">
      <c r="A906" s="1">
        <v>46083</v>
      </c>
      <c r="B906" t="s">
        <v>831</v>
      </c>
      <c r="C906" t="s">
        <v>832</v>
      </c>
      <c r="D906">
        <v>7</v>
      </c>
      <c r="E906" t="s">
        <v>126</v>
      </c>
    </row>
    <row r="907" spans="1:5" x14ac:dyDescent="0.25">
      <c r="A907" s="1">
        <v>46083</v>
      </c>
      <c r="B907" t="s">
        <v>833</v>
      </c>
      <c r="C907" t="s">
        <v>834</v>
      </c>
      <c r="D907">
        <v>4</v>
      </c>
      <c r="E907" t="s">
        <v>126</v>
      </c>
    </row>
    <row r="908" spans="1:5" x14ac:dyDescent="0.25">
      <c r="A908" s="1">
        <v>46083</v>
      </c>
      <c r="B908" t="s">
        <v>829</v>
      </c>
      <c r="C908" t="s">
        <v>830</v>
      </c>
      <c r="D908">
        <v>5</v>
      </c>
      <c r="E908" t="s">
        <v>48</v>
      </c>
    </row>
    <row r="909" spans="1:5" x14ac:dyDescent="0.25">
      <c r="A909" s="1">
        <v>46083</v>
      </c>
      <c r="B909" t="s">
        <v>831</v>
      </c>
      <c r="C909" t="s">
        <v>832</v>
      </c>
      <c r="D909">
        <v>5</v>
      </c>
      <c r="E909" t="s">
        <v>48</v>
      </c>
    </row>
    <row r="910" spans="1:5" x14ac:dyDescent="0.25">
      <c r="A910" s="1">
        <v>46083</v>
      </c>
      <c r="B910" t="s">
        <v>833</v>
      </c>
      <c r="C910" t="s">
        <v>834</v>
      </c>
      <c r="D910">
        <v>3</v>
      </c>
      <c r="E910" t="s">
        <v>48</v>
      </c>
    </row>
    <row r="911" spans="1:5" x14ac:dyDescent="0.25">
      <c r="A911" s="1">
        <v>46083</v>
      </c>
      <c r="B911" t="s">
        <v>829</v>
      </c>
      <c r="C911" t="s">
        <v>830</v>
      </c>
      <c r="D911">
        <v>7</v>
      </c>
      <c r="E911" t="s">
        <v>21</v>
      </c>
    </row>
    <row r="912" spans="1:5" x14ac:dyDescent="0.25">
      <c r="A912" s="1">
        <v>46083</v>
      </c>
      <c r="B912" t="s">
        <v>831</v>
      </c>
      <c r="C912" t="s">
        <v>832</v>
      </c>
      <c r="D912">
        <v>3</v>
      </c>
      <c r="E912" t="s">
        <v>21</v>
      </c>
    </row>
    <row r="913" spans="1:5" x14ac:dyDescent="0.25">
      <c r="A913" s="1">
        <v>46083</v>
      </c>
      <c r="B913" t="s">
        <v>833</v>
      </c>
      <c r="C913" t="s">
        <v>834</v>
      </c>
      <c r="D913">
        <v>4</v>
      </c>
      <c r="E913" t="s">
        <v>21</v>
      </c>
    </row>
    <row r="914" spans="1:5" x14ac:dyDescent="0.25">
      <c r="A914" s="1">
        <v>46083</v>
      </c>
      <c r="B914" t="s">
        <v>829</v>
      </c>
      <c r="C914" t="s">
        <v>830</v>
      </c>
      <c r="D914">
        <v>8</v>
      </c>
      <c r="E914" t="s">
        <v>58</v>
      </c>
    </row>
    <row r="915" spans="1:5" x14ac:dyDescent="0.25">
      <c r="A915" s="1">
        <v>46083</v>
      </c>
      <c r="B915" t="s">
        <v>831</v>
      </c>
      <c r="C915" t="s">
        <v>832</v>
      </c>
      <c r="D915">
        <v>7</v>
      </c>
      <c r="E915" t="s">
        <v>58</v>
      </c>
    </row>
    <row r="916" spans="1:5" x14ac:dyDescent="0.25">
      <c r="A916" s="1">
        <v>46083</v>
      </c>
      <c r="B916" t="s">
        <v>833</v>
      </c>
      <c r="C916" t="s">
        <v>834</v>
      </c>
      <c r="D916">
        <v>1</v>
      </c>
      <c r="E916" t="s">
        <v>58</v>
      </c>
    </row>
    <row r="917" spans="1:5" x14ac:dyDescent="0.25">
      <c r="A917" s="1">
        <v>46084</v>
      </c>
      <c r="B917" t="s">
        <v>829</v>
      </c>
      <c r="C917" t="s">
        <v>830</v>
      </c>
      <c r="D917">
        <v>5</v>
      </c>
      <c r="E917" t="s">
        <v>28</v>
      </c>
    </row>
    <row r="918" spans="1:5" x14ac:dyDescent="0.25">
      <c r="A918" s="1">
        <v>46084</v>
      </c>
      <c r="B918" t="s">
        <v>831</v>
      </c>
      <c r="C918" t="s">
        <v>832</v>
      </c>
      <c r="D918">
        <v>11</v>
      </c>
      <c r="E918" t="s">
        <v>28</v>
      </c>
    </row>
    <row r="919" spans="1:5" x14ac:dyDescent="0.25">
      <c r="A919" s="1">
        <v>46084</v>
      </c>
      <c r="B919" t="s">
        <v>833</v>
      </c>
      <c r="C919" t="s">
        <v>834</v>
      </c>
      <c r="D919">
        <v>4</v>
      </c>
      <c r="E919" t="s">
        <v>28</v>
      </c>
    </row>
    <row r="920" spans="1:5" x14ac:dyDescent="0.25">
      <c r="A920" s="1">
        <v>46084</v>
      </c>
      <c r="B920" t="s">
        <v>829</v>
      </c>
      <c r="C920" t="s">
        <v>830</v>
      </c>
      <c r="D920">
        <v>4</v>
      </c>
      <c r="E920" t="s">
        <v>126</v>
      </c>
    </row>
    <row r="921" spans="1:5" x14ac:dyDescent="0.25">
      <c r="A921" s="1">
        <v>46084</v>
      </c>
      <c r="B921" t="s">
        <v>831</v>
      </c>
      <c r="C921" t="s">
        <v>832</v>
      </c>
      <c r="D921">
        <v>5</v>
      </c>
      <c r="E921" t="s">
        <v>126</v>
      </c>
    </row>
    <row r="922" spans="1:5" x14ac:dyDescent="0.25">
      <c r="A922" s="1">
        <v>46084</v>
      </c>
      <c r="B922" t="s">
        <v>833</v>
      </c>
      <c r="C922" t="s">
        <v>834</v>
      </c>
      <c r="D922">
        <v>2</v>
      </c>
      <c r="E922" t="s">
        <v>126</v>
      </c>
    </row>
    <row r="923" spans="1:5" x14ac:dyDescent="0.25">
      <c r="A923" s="1">
        <v>46084</v>
      </c>
      <c r="B923" t="s">
        <v>829</v>
      </c>
      <c r="C923" t="s">
        <v>830</v>
      </c>
      <c r="D923">
        <v>4</v>
      </c>
      <c r="E923" t="s">
        <v>48</v>
      </c>
    </row>
    <row r="924" spans="1:5" x14ac:dyDescent="0.25">
      <c r="A924" s="1">
        <v>46084</v>
      </c>
      <c r="B924" t="s">
        <v>831</v>
      </c>
      <c r="C924" t="s">
        <v>832</v>
      </c>
      <c r="D924">
        <v>7</v>
      </c>
      <c r="E924" t="s">
        <v>48</v>
      </c>
    </row>
    <row r="925" spans="1:5" x14ac:dyDescent="0.25">
      <c r="A925" s="1">
        <v>46084</v>
      </c>
      <c r="B925" t="s">
        <v>833</v>
      </c>
      <c r="C925" t="s">
        <v>834</v>
      </c>
      <c r="D925">
        <v>3</v>
      </c>
      <c r="E925" t="s">
        <v>48</v>
      </c>
    </row>
    <row r="926" spans="1:5" x14ac:dyDescent="0.25">
      <c r="A926" s="1">
        <v>46084</v>
      </c>
      <c r="B926" t="s">
        <v>829</v>
      </c>
      <c r="C926" t="s">
        <v>830</v>
      </c>
      <c r="D926">
        <v>6</v>
      </c>
      <c r="E926" t="s">
        <v>21</v>
      </c>
    </row>
    <row r="927" spans="1:5" x14ac:dyDescent="0.25">
      <c r="A927" s="1">
        <v>46084</v>
      </c>
      <c r="B927" t="s">
        <v>831</v>
      </c>
      <c r="C927" t="s">
        <v>832</v>
      </c>
      <c r="D927">
        <v>5</v>
      </c>
      <c r="E927" t="s">
        <v>21</v>
      </c>
    </row>
    <row r="928" spans="1:5" x14ac:dyDescent="0.25">
      <c r="A928" s="1">
        <v>46084</v>
      </c>
      <c r="B928" t="s">
        <v>833</v>
      </c>
      <c r="C928" t="s">
        <v>834</v>
      </c>
      <c r="D928">
        <v>3</v>
      </c>
      <c r="E928" t="s">
        <v>21</v>
      </c>
    </row>
    <row r="929" spans="1:5" x14ac:dyDescent="0.25">
      <c r="A929" s="1">
        <v>46084</v>
      </c>
      <c r="B929" t="s">
        <v>829</v>
      </c>
      <c r="C929" t="s">
        <v>830</v>
      </c>
      <c r="D929">
        <v>11</v>
      </c>
      <c r="E929" t="s">
        <v>58</v>
      </c>
    </row>
    <row r="930" spans="1:5" x14ac:dyDescent="0.25">
      <c r="A930" s="1">
        <v>46084</v>
      </c>
      <c r="B930" t="s">
        <v>831</v>
      </c>
      <c r="C930" t="s">
        <v>832</v>
      </c>
      <c r="D930">
        <v>4</v>
      </c>
      <c r="E930" t="s">
        <v>58</v>
      </c>
    </row>
    <row r="931" spans="1:5" x14ac:dyDescent="0.25">
      <c r="A931" s="1">
        <v>46084</v>
      </c>
      <c r="B931" t="s">
        <v>833</v>
      </c>
      <c r="C931" t="s">
        <v>834</v>
      </c>
      <c r="D931">
        <v>3</v>
      </c>
      <c r="E931" t="s">
        <v>58</v>
      </c>
    </row>
    <row r="932" spans="1:5" x14ac:dyDescent="0.25">
      <c r="A932" s="1">
        <v>46085</v>
      </c>
      <c r="B932" t="s">
        <v>829</v>
      </c>
      <c r="C932" t="s">
        <v>830</v>
      </c>
      <c r="D932">
        <v>7</v>
      </c>
      <c r="E932" t="s">
        <v>28</v>
      </c>
    </row>
    <row r="933" spans="1:5" x14ac:dyDescent="0.25">
      <c r="A933" s="1">
        <v>46085</v>
      </c>
      <c r="B933" t="s">
        <v>831</v>
      </c>
      <c r="C933" t="s">
        <v>832</v>
      </c>
      <c r="D933">
        <v>10</v>
      </c>
      <c r="E933" t="s">
        <v>28</v>
      </c>
    </row>
    <row r="934" spans="1:5" x14ac:dyDescent="0.25">
      <c r="A934" s="1">
        <v>46085</v>
      </c>
      <c r="B934" t="s">
        <v>833</v>
      </c>
      <c r="C934" t="s">
        <v>834</v>
      </c>
      <c r="D934">
        <v>4</v>
      </c>
      <c r="E934" t="s">
        <v>28</v>
      </c>
    </row>
    <row r="935" spans="1:5" x14ac:dyDescent="0.25">
      <c r="A935" s="1">
        <v>46085</v>
      </c>
      <c r="B935" t="s">
        <v>829</v>
      </c>
      <c r="C935" t="s">
        <v>830</v>
      </c>
      <c r="D935">
        <v>8</v>
      </c>
      <c r="E935" t="s">
        <v>126</v>
      </c>
    </row>
    <row r="936" spans="1:5" x14ac:dyDescent="0.25">
      <c r="A936" s="1">
        <v>46085</v>
      </c>
      <c r="B936" t="s">
        <v>831</v>
      </c>
      <c r="C936" t="s">
        <v>832</v>
      </c>
      <c r="D936">
        <v>3</v>
      </c>
      <c r="E936" t="s">
        <v>126</v>
      </c>
    </row>
    <row r="937" spans="1:5" x14ac:dyDescent="0.25">
      <c r="A937" s="1">
        <v>46085</v>
      </c>
      <c r="B937" t="s">
        <v>833</v>
      </c>
      <c r="C937" t="s">
        <v>834</v>
      </c>
      <c r="D937">
        <v>1</v>
      </c>
      <c r="E937" t="s">
        <v>126</v>
      </c>
    </row>
    <row r="938" spans="1:5" x14ac:dyDescent="0.25">
      <c r="A938" s="1">
        <v>46085</v>
      </c>
      <c r="B938" t="s">
        <v>829</v>
      </c>
      <c r="C938" t="s">
        <v>830</v>
      </c>
      <c r="D938">
        <v>5</v>
      </c>
      <c r="E938" t="s">
        <v>48</v>
      </c>
    </row>
    <row r="939" spans="1:5" x14ac:dyDescent="0.25">
      <c r="A939" s="1">
        <v>46085</v>
      </c>
      <c r="B939" t="s">
        <v>831</v>
      </c>
      <c r="C939" t="s">
        <v>832</v>
      </c>
      <c r="D939">
        <v>3</v>
      </c>
      <c r="E939" t="s">
        <v>48</v>
      </c>
    </row>
    <row r="940" spans="1:5" x14ac:dyDescent="0.25">
      <c r="A940" s="1">
        <v>46085</v>
      </c>
      <c r="B940" t="s">
        <v>833</v>
      </c>
      <c r="C940" t="s">
        <v>834</v>
      </c>
      <c r="D940">
        <v>4</v>
      </c>
      <c r="E940" t="s">
        <v>48</v>
      </c>
    </row>
    <row r="941" spans="1:5" x14ac:dyDescent="0.25">
      <c r="A941" s="1">
        <v>46085</v>
      </c>
      <c r="B941" t="s">
        <v>829</v>
      </c>
      <c r="C941" t="s">
        <v>830</v>
      </c>
      <c r="D941">
        <v>7</v>
      </c>
      <c r="E941" t="s">
        <v>21</v>
      </c>
    </row>
    <row r="942" spans="1:5" x14ac:dyDescent="0.25">
      <c r="A942" s="1">
        <v>46085</v>
      </c>
      <c r="B942" t="s">
        <v>831</v>
      </c>
      <c r="C942" t="s">
        <v>832</v>
      </c>
      <c r="D942">
        <v>6</v>
      </c>
      <c r="E942" t="s">
        <v>21</v>
      </c>
    </row>
    <row r="943" spans="1:5" x14ac:dyDescent="0.25">
      <c r="A943" s="1">
        <v>46085</v>
      </c>
      <c r="B943" t="s">
        <v>833</v>
      </c>
      <c r="C943" t="s">
        <v>834</v>
      </c>
      <c r="D943">
        <v>3</v>
      </c>
      <c r="E943" t="s">
        <v>21</v>
      </c>
    </row>
    <row r="944" spans="1:5" x14ac:dyDescent="0.25">
      <c r="A944" s="1">
        <v>46085</v>
      </c>
      <c r="B944" t="s">
        <v>829</v>
      </c>
      <c r="C944" t="s">
        <v>830</v>
      </c>
      <c r="D944">
        <v>10</v>
      </c>
      <c r="E944" t="s">
        <v>58</v>
      </c>
    </row>
    <row r="945" spans="1:5" x14ac:dyDescent="0.25">
      <c r="A945" s="1">
        <v>46085</v>
      </c>
      <c r="B945" t="s">
        <v>831</v>
      </c>
      <c r="C945" t="s">
        <v>832</v>
      </c>
      <c r="D945">
        <v>7</v>
      </c>
      <c r="E945" t="s">
        <v>58</v>
      </c>
    </row>
    <row r="946" spans="1:5" x14ac:dyDescent="0.25">
      <c r="A946" s="1">
        <v>46085</v>
      </c>
      <c r="B946" t="s">
        <v>833</v>
      </c>
      <c r="C946" t="s">
        <v>834</v>
      </c>
      <c r="D946">
        <v>2</v>
      </c>
      <c r="E946" t="s">
        <v>58</v>
      </c>
    </row>
    <row r="947" spans="1:5" x14ac:dyDescent="0.25">
      <c r="A947" s="1">
        <v>46086</v>
      </c>
      <c r="B947" t="s">
        <v>829</v>
      </c>
      <c r="C947" t="s">
        <v>830</v>
      </c>
      <c r="D947">
        <v>6</v>
      </c>
      <c r="E947" t="s">
        <v>28</v>
      </c>
    </row>
    <row r="948" spans="1:5" x14ac:dyDescent="0.25">
      <c r="A948" s="1">
        <v>46086</v>
      </c>
      <c r="B948" t="s">
        <v>831</v>
      </c>
      <c r="C948" t="s">
        <v>832</v>
      </c>
      <c r="D948">
        <v>8</v>
      </c>
      <c r="E948" t="s">
        <v>28</v>
      </c>
    </row>
    <row r="949" spans="1:5" x14ac:dyDescent="0.25">
      <c r="A949" s="1">
        <v>46086</v>
      </c>
      <c r="B949" t="s">
        <v>833</v>
      </c>
      <c r="C949" t="s">
        <v>834</v>
      </c>
      <c r="D949">
        <v>6</v>
      </c>
      <c r="E949" t="s">
        <v>28</v>
      </c>
    </row>
    <row r="950" spans="1:5" x14ac:dyDescent="0.25">
      <c r="A950" s="1">
        <v>46086</v>
      </c>
      <c r="B950" t="s">
        <v>829</v>
      </c>
      <c r="C950" t="s">
        <v>830</v>
      </c>
      <c r="D950">
        <v>5</v>
      </c>
      <c r="E950" t="s">
        <v>126</v>
      </c>
    </row>
    <row r="951" spans="1:5" x14ac:dyDescent="0.25">
      <c r="A951" s="1">
        <v>46086</v>
      </c>
      <c r="B951" t="s">
        <v>831</v>
      </c>
      <c r="C951" t="s">
        <v>832</v>
      </c>
      <c r="D951">
        <v>7</v>
      </c>
      <c r="E951" t="s">
        <v>126</v>
      </c>
    </row>
    <row r="952" spans="1:5" x14ac:dyDescent="0.25">
      <c r="A952" s="1">
        <v>46086</v>
      </c>
      <c r="B952" t="s">
        <v>833</v>
      </c>
      <c r="C952" t="s">
        <v>834</v>
      </c>
      <c r="D952">
        <v>2</v>
      </c>
      <c r="E952" t="s">
        <v>126</v>
      </c>
    </row>
    <row r="953" spans="1:5" x14ac:dyDescent="0.25">
      <c r="A953" s="1">
        <v>46086</v>
      </c>
      <c r="B953" t="s">
        <v>829</v>
      </c>
      <c r="C953" t="s">
        <v>830</v>
      </c>
      <c r="D953">
        <v>6</v>
      </c>
      <c r="E953" t="s">
        <v>48</v>
      </c>
    </row>
    <row r="954" spans="1:5" x14ac:dyDescent="0.25">
      <c r="A954" s="1">
        <v>46086</v>
      </c>
      <c r="B954" t="s">
        <v>831</v>
      </c>
      <c r="C954" t="s">
        <v>832</v>
      </c>
      <c r="D954">
        <v>5</v>
      </c>
      <c r="E954" t="s">
        <v>48</v>
      </c>
    </row>
    <row r="955" spans="1:5" x14ac:dyDescent="0.25">
      <c r="A955" s="1">
        <v>46086</v>
      </c>
      <c r="B955" t="s">
        <v>833</v>
      </c>
      <c r="C955" t="s">
        <v>834</v>
      </c>
      <c r="D955">
        <v>4</v>
      </c>
      <c r="E955" t="s">
        <v>48</v>
      </c>
    </row>
    <row r="956" spans="1:5" x14ac:dyDescent="0.25">
      <c r="A956" s="1">
        <v>46086</v>
      </c>
      <c r="B956" t="s">
        <v>829</v>
      </c>
      <c r="C956" t="s">
        <v>830</v>
      </c>
      <c r="D956">
        <v>6</v>
      </c>
      <c r="E956" t="s">
        <v>21</v>
      </c>
    </row>
    <row r="957" spans="1:5" x14ac:dyDescent="0.25">
      <c r="A957" s="1">
        <v>46086</v>
      </c>
      <c r="B957" t="s">
        <v>831</v>
      </c>
      <c r="C957" t="s">
        <v>832</v>
      </c>
      <c r="D957">
        <v>7</v>
      </c>
      <c r="E957" t="s">
        <v>21</v>
      </c>
    </row>
    <row r="958" spans="1:5" x14ac:dyDescent="0.25">
      <c r="A958" s="1">
        <v>46086</v>
      </c>
      <c r="B958" t="s">
        <v>833</v>
      </c>
      <c r="C958" t="s">
        <v>834</v>
      </c>
      <c r="D958">
        <v>1</v>
      </c>
      <c r="E958" t="s">
        <v>21</v>
      </c>
    </row>
    <row r="959" spans="1:5" x14ac:dyDescent="0.25">
      <c r="A959" s="1">
        <v>46086</v>
      </c>
      <c r="B959" t="s">
        <v>829</v>
      </c>
      <c r="C959" t="s">
        <v>830</v>
      </c>
      <c r="D959">
        <v>11</v>
      </c>
      <c r="E959" t="s">
        <v>58</v>
      </c>
    </row>
    <row r="960" spans="1:5" x14ac:dyDescent="0.25">
      <c r="A960" s="1">
        <v>46086</v>
      </c>
      <c r="B960" t="s">
        <v>831</v>
      </c>
      <c r="C960" t="s">
        <v>832</v>
      </c>
      <c r="D960">
        <v>5</v>
      </c>
      <c r="E960" t="s">
        <v>58</v>
      </c>
    </row>
    <row r="961" spans="1:5" x14ac:dyDescent="0.25">
      <c r="A961" s="1">
        <v>46086</v>
      </c>
      <c r="B961" t="s">
        <v>833</v>
      </c>
      <c r="C961" t="s">
        <v>834</v>
      </c>
      <c r="D961">
        <v>4</v>
      </c>
      <c r="E961" t="s">
        <v>58</v>
      </c>
    </row>
    <row r="962" spans="1:5" x14ac:dyDescent="0.25">
      <c r="A962" s="1">
        <v>46087</v>
      </c>
      <c r="B962" t="s">
        <v>829</v>
      </c>
      <c r="C962" t="s">
        <v>830</v>
      </c>
      <c r="D962">
        <v>6</v>
      </c>
      <c r="E962" t="s">
        <v>28</v>
      </c>
    </row>
    <row r="963" spans="1:5" x14ac:dyDescent="0.25">
      <c r="A963" s="1">
        <v>46087</v>
      </c>
      <c r="B963" t="s">
        <v>831</v>
      </c>
      <c r="C963" t="s">
        <v>832</v>
      </c>
      <c r="D963">
        <v>11</v>
      </c>
      <c r="E963" t="s">
        <v>28</v>
      </c>
    </row>
    <row r="964" spans="1:5" x14ac:dyDescent="0.25">
      <c r="A964" s="1">
        <v>46087</v>
      </c>
      <c r="B964" t="s">
        <v>833</v>
      </c>
      <c r="C964" t="s">
        <v>834</v>
      </c>
      <c r="D964">
        <v>4</v>
      </c>
      <c r="E964" t="s">
        <v>28</v>
      </c>
    </row>
    <row r="965" spans="1:5" x14ac:dyDescent="0.25">
      <c r="A965" s="1">
        <v>46087</v>
      </c>
      <c r="B965" t="s">
        <v>829</v>
      </c>
      <c r="C965" t="s">
        <v>830</v>
      </c>
      <c r="D965">
        <v>4</v>
      </c>
      <c r="E965" t="s">
        <v>126</v>
      </c>
    </row>
    <row r="966" spans="1:5" x14ac:dyDescent="0.25">
      <c r="A966" s="1">
        <v>46087</v>
      </c>
      <c r="B966" t="s">
        <v>831</v>
      </c>
      <c r="C966" t="s">
        <v>832</v>
      </c>
      <c r="D966">
        <v>6</v>
      </c>
      <c r="E966" t="s">
        <v>126</v>
      </c>
    </row>
    <row r="967" spans="1:5" x14ac:dyDescent="0.25">
      <c r="A967" s="1">
        <v>46087</v>
      </c>
      <c r="B967" t="s">
        <v>833</v>
      </c>
      <c r="C967" t="s">
        <v>834</v>
      </c>
      <c r="D967">
        <v>5</v>
      </c>
      <c r="E967" t="s">
        <v>126</v>
      </c>
    </row>
    <row r="968" spans="1:5" x14ac:dyDescent="0.25">
      <c r="A968" s="1">
        <v>46087</v>
      </c>
      <c r="B968" t="s">
        <v>829</v>
      </c>
      <c r="C968" t="s">
        <v>830</v>
      </c>
      <c r="D968">
        <v>8</v>
      </c>
      <c r="E968" t="s">
        <v>48</v>
      </c>
    </row>
    <row r="969" spans="1:5" x14ac:dyDescent="0.25">
      <c r="A969" s="1">
        <v>46087</v>
      </c>
      <c r="B969" t="s">
        <v>831</v>
      </c>
      <c r="C969" t="s">
        <v>832</v>
      </c>
      <c r="D969">
        <v>5</v>
      </c>
      <c r="E969" t="s">
        <v>48</v>
      </c>
    </row>
    <row r="970" spans="1:5" x14ac:dyDescent="0.25">
      <c r="A970" s="1">
        <v>46087</v>
      </c>
      <c r="B970" t="s">
        <v>833</v>
      </c>
      <c r="C970" t="s">
        <v>834</v>
      </c>
      <c r="D970">
        <v>2</v>
      </c>
      <c r="E970" t="s">
        <v>48</v>
      </c>
    </row>
    <row r="971" spans="1:5" x14ac:dyDescent="0.25">
      <c r="A971" s="1">
        <v>46087</v>
      </c>
      <c r="B971" t="s">
        <v>829</v>
      </c>
      <c r="C971" t="s">
        <v>830</v>
      </c>
      <c r="D971">
        <v>7</v>
      </c>
      <c r="E971" t="s">
        <v>21</v>
      </c>
    </row>
    <row r="972" spans="1:5" x14ac:dyDescent="0.25">
      <c r="A972" s="1">
        <v>46087</v>
      </c>
      <c r="B972" t="s">
        <v>831</v>
      </c>
      <c r="C972" t="s">
        <v>832</v>
      </c>
      <c r="D972">
        <v>3</v>
      </c>
      <c r="E972" t="s">
        <v>21</v>
      </c>
    </row>
    <row r="973" spans="1:5" x14ac:dyDescent="0.25">
      <c r="A973" s="1">
        <v>46087</v>
      </c>
      <c r="B973" t="s">
        <v>833</v>
      </c>
      <c r="C973" t="s">
        <v>834</v>
      </c>
      <c r="D973">
        <v>1</v>
      </c>
      <c r="E973" t="s">
        <v>21</v>
      </c>
    </row>
    <row r="974" spans="1:5" x14ac:dyDescent="0.25">
      <c r="A974" s="1">
        <v>46087</v>
      </c>
      <c r="B974" t="s">
        <v>829</v>
      </c>
      <c r="C974" t="s">
        <v>830</v>
      </c>
      <c r="D974">
        <v>9</v>
      </c>
      <c r="E974" t="s">
        <v>58</v>
      </c>
    </row>
    <row r="975" spans="1:5" x14ac:dyDescent="0.25">
      <c r="A975" s="1">
        <v>46087</v>
      </c>
      <c r="B975" t="s">
        <v>831</v>
      </c>
      <c r="C975" t="s">
        <v>832</v>
      </c>
      <c r="D975">
        <v>8</v>
      </c>
      <c r="E975" t="s">
        <v>58</v>
      </c>
    </row>
    <row r="976" spans="1:5" x14ac:dyDescent="0.25">
      <c r="A976" s="1">
        <v>46087</v>
      </c>
      <c r="B976" t="s">
        <v>833</v>
      </c>
      <c r="C976" t="s">
        <v>834</v>
      </c>
      <c r="D976">
        <v>1</v>
      </c>
      <c r="E976" t="s">
        <v>58</v>
      </c>
    </row>
    <row r="977" spans="1:5" x14ac:dyDescent="0.25">
      <c r="A977" s="1">
        <v>46088</v>
      </c>
      <c r="B977" t="s">
        <v>829</v>
      </c>
      <c r="C977" t="s">
        <v>830</v>
      </c>
      <c r="D977">
        <v>4</v>
      </c>
      <c r="E977" t="s">
        <v>28</v>
      </c>
    </row>
    <row r="978" spans="1:5" x14ac:dyDescent="0.25">
      <c r="A978" s="1">
        <v>46088</v>
      </c>
      <c r="B978" t="s">
        <v>831</v>
      </c>
      <c r="C978" t="s">
        <v>832</v>
      </c>
      <c r="D978">
        <v>10</v>
      </c>
      <c r="E978" t="s">
        <v>28</v>
      </c>
    </row>
    <row r="979" spans="1:5" x14ac:dyDescent="0.25">
      <c r="A979" s="1">
        <v>46088</v>
      </c>
      <c r="B979" t="s">
        <v>833</v>
      </c>
      <c r="C979" t="s">
        <v>834</v>
      </c>
      <c r="D979">
        <v>6</v>
      </c>
      <c r="E979" t="s">
        <v>28</v>
      </c>
    </row>
    <row r="980" spans="1:5" x14ac:dyDescent="0.25">
      <c r="A980" s="1">
        <v>46088</v>
      </c>
      <c r="B980" t="s">
        <v>829</v>
      </c>
      <c r="C980" t="s">
        <v>830</v>
      </c>
      <c r="D980">
        <v>6</v>
      </c>
      <c r="E980" t="s">
        <v>126</v>
      </c>
    </row>
    <row r="981" spans="1:5" x14ac:dyDescent="0.25">
      <c r="A981" s="1">
        <v>46088</v>
      </c>
      <c r="B981" t="s">
        <v>831</v>
      </c>
      <c r="C981" t="s">
        <v>832</v>
      </c>
      <c r="D981">
        <v>3</v>
      </c>
      <c r="E981" t="s">
        <v>126</v>
      </c>
    </row>
    <row r="982" spans="1:5" x14ac:dyDescent="0.25">
      <c r="A982" s="1">
        <v>46088</v>
      </c>
      <c r="B982" t="s">
        <v>833</v>
      </c>
      <c r="C982" t="s">
        <v>834</v>
      </c>
      <c r="D982">
        <v>1</v>
      </c>
      <c r="E982" t="s">
        <v>126</v>
      </c>
    </row>
    <row r="983" spans="1:5" x14ac:dyDescent="0.25">
      <c r="A983" s="1">
        <v>46088</v>
      </c>
      <c r="B983" t="s">
        <v>829</v>
      </c>
      <c r="C983" t="s">
        <v>830</v>
      </c>
      <c r="D983">
        <v>4</v>
      </c>
      <c r="E983" t="s">
        <v>48</v>
      </c>
    </row>
    <row r="984" spans="1:5" x14ac:dyDescent="0.25">
      <c r="A984" s="1">
        <v>46088</v>
      </c>
      <c r="B984" t="s">
        <v>831</v>
      </c>
      <c r="C984" t="s">
        <v>832</v>
      </c>
      <c r="D984">
        <v>5</v>
      </c>
      <c r="E984" t="s">
        <v>48</v>
      </c>
    </row>
    <row r="985" spans="1:5" x14ac:dyDescent="0.25">
      <c r="A985" s="1">
        <v>46088</v>
      </c>
      <c r="B985" t="s">
        <v>833</v>
      </c>
      <c r="C985" t="s">
        <v>834</v>
      </c>
      <c r="D985">
        <v>3</v>
      </c>
      <c r="E985" t="s">
        <v>48</v>
      </c>
    </row>
    <row r="986" spans="1:5" x14ac:dyDescent="0.25">
      <c r="A986" s="1">
        <v>46088</v>
      </c>
      <c r="B986" t="s">
        <v>829</v>
      </c>
      <c r="C986" t="s">
        <v>830</v>
      </c>
      <c r="D986">
        <v>7</v>
      </c>
      <c r="E986" t="s">
        <v>21</v>
      </c>
    </row>
    <row r="987" spans="1:5" x14ac:dyDescent="0.25">
      <c r="A987" s="1">
        <v>46088</v>
      </c>
      <c r="B987" t="s">
        <v>831</v>
      </c>
      <c r="C987" t="s">
        <v>832</v>
      </c>
      <c r="D987">
        <v>3</v>
      </c>
      <c r="E987" t="s">
        <v>21</v>
      </c>
    </row>
    <row r="988" spans="1:5" x14ac:dyDescent="0.25">
      <c r="A988" s="1">
        <v>46088</v>
      </c>
      <c r="B988" t="s">
        <v>833</v>
      </c>
      <c r="C988" t="s">
        <v>834</v>
      </c>
      <c r="D988">
        <v>4</v>
      </c>
      <c r="E988" t="s">
        <v>21</v>
      </c>
    </row>
    <row r="989" spans="1:5" x14ac:dyDescent="0.25">
      <c r="A989" s="1">
        <v>46088</v>
      </c>
      <c r="B989" t="s">
        <v>829</v>
      </c>
      <c r="C989" t="s">
        <v>830</v>
      </c>
      <c r="D989">
        <v>6</v>
      </c>
      <c r="E989" t="s">
        <v>58</v>
      </c>
    </row>
    <row r="990" spans="1:5" x14ac:dyDescent="0.25">
      <c r="A990" s="1">
        <v>46088</v>
      </c>
      <c r="B990" t="s">
        <v>831</v>
      </c>
      <c r="C990" t="s">
        <v>832</v>
      </c>
      <c r="D990">
        <v>5</v>
      </c>
      <c r="E990" t="s">
        <v>58</v>
      </c>
    </row>
    <row r="991" spans="1:5" x14ac:dyDescent="0.25">
      <c r="A991" s="1">
        <v>46088</v>
      </c>
      <c r="B991" t="s">
        <v>833</v>
      </c>
      <c r="C991" t="s">
        <v>834</v>
      </c>
      <c r="D991">
        <v>2</v>
      </c>
      <c r="E991" t="s">
        <v>58</v>
      </c>
    </row>
    <row r="992" spans="1:5" x14ac:dyDescent="0.25">
      <c r="A992" s="1">
        <v>46089</v>
      </c>
      <c r="B992" t="s">
        <v>829</v>
      </c>
      <c r="C992" t="s">
        <v>830</v>
      </c>
      <c r="D992">
        <v>8</v>
      </c>
      <c r="E992" t="s">
        <v>28</v>
      </c>
    </row>
    <row r="993" spans="1:5" x14ac:dyDescent="0.25">
      <c r="A993" s="1">
        <v>46089</v>
      </c>
      <c r="B993" t="s">
        <v>831</v>
      </c>
      <c r="C993" t="s">
        <v>832</v>
      </c>
      <c r="D993">
        <v>9</v>
      </c>
      <c r="E993" t="s">
        <v>28</v>
      </c>
    </row>
    <row r="994" spans="1:5" x14ac:dyDescent="0.25">
      <c r="A994" s="1">
        <v>46089</v>
      </c>
      <c r="B994" t="s">
        <v>833</v>
      </c>
      <c r="C994" t="s">
        <v>834</v>
      </c>
      <c r="D994">
        <v>5</v>
      </c>
      <c r="E994" t="s">
        <v>28</v>
      </c>
    </row>
    <row r="995" spans="1:5" x14ac:dyDescent="0.25">
      <c r="A995" s="1">
        <v>46089</v>
      </c>
      <c r="B995" t="s">
        <v>829</v>
      </c>
      <c r="C995" t="s">
        <v>830</v>
      </c>
      <c r="D995">
        <v>5</v>
      </c>
      <c r="E995" t="s">
        <v>126</v>
      </c>
    </row>
    <row r="996" spans="1:5" x14ac:dyDescent="0.25">
      <c r="A996" s="1">
        <v>46089</v>
      </c>
      <c r="B996" t="s">
        <v>831</v>
      </c>
      <c r="C996" t="s">
        <v>832</v>
      </c>
      <c r="D996">
        <v>4</v>
      </c>
      <c r="E996" t="s">
        <v>126</v>
      </c>
    </row>
    <row r="997" spans="1:5" x14ac:dyDescent="0.25">
      <c r="A997" s="1">
        <v>46089</v>
      </c>
      <c r="B997" t="s">
        <v>833</v>
      </c>
      <c r="C997" t="s">
        <v>834</v>
      </c>
      <c r="D997">
        <v>1</v>
      </c>
      <c r="E997" t="s">
        <v>126</v>
      </c>
    </row>
    <row r="998" spans="1:5" x14ac:dyDescent="0.25">
      <c r="A998" s="1">
        <v>46089</v>
      </c>
      <c r="B998" t="s">
        <v>829</v>
      </c>
      <c r="C998" t="s">
        <v>830</v>
      </c>
      <c r="D998">
        <v>6</v>
      </c>
      <c r="E998" t="s">
        <v>48</v>
      </c>
    </row>
    <row r="999" spans="1:5" x14ac:dyDescent="0.25">
      <c r="A999" s="1">
        <v>46089</v>
      </c>
      <c r="B999" t="s">
        <v>831</v>
      </c>
      <c r="C999" t="s">
        <v>832</v>
      </c>
      <c r="D999">
        <v>3</v>
      </c>
      <c r="E999" t="s">
        <v>48</v>
      </c>
    </row>
    <row r="1000" spans="1:5" x14ac:dyDescent="0.25">
      <c r="A1000" s="1">
        <v>46089</v>
      </c>
      <c r="B1000" t="s">
        <v>833</v>
      </c>
      <c r="C1000" t="s">
        <v>834</v>
      </c>
      <c r="D1000">
        <v>1</v>
      </c>
      <c r="E1000" t="s">
        <v>48</v>
      </c>
    </row>
    <row r="1001" spans="1:5" x14ac:dyDescent="0.25">
      <c r="A1001" s="1">
        <v>46089</v>
      </c>
      <c r="B1001" t="s">
        <v>829</v>
      </c>
      <c r="C1001" t="s">
        <v>830</v>
      </c>
      <c r="D1001">
        <v>4</v>
      </c>
      <c r="E1001" t="s">
        <v>21</v>
      </c>
    </row>
    <row r="1002" spans="1:5" x14ac:dyDescent="0.25">
      <c r="A1002" s="1">
        <v>46089</v>
      </c>
      <c r="B1002" t="s">
        <v>831</v>
      </c>
      <c r="C1002" t="s">
        <v>832</v>
      </c>
      <c r="D1002">
        <v>3</v>
      </c>
      <c r="E1002" t="s">
        <v>21</v>
      </c>
    </row>
    <row r="1003" spans="1:5" x14ac:dyDescent="0.25">
      <c r="A1003" s="1">
        <v>46089</v>
      </c>
      <c r="B1003" t="s">
        <v>833</v>
      </c>
      <c r="C1003" t="s">
        <v>834</v>
      </c>
      <c r="D1003">
        <v>1</v>
      </c>
      <c r="E1003" t="s">
        <v>21</v>
      </c>
    </row>
    <row r="1004" spans="1:5" x14ac:dyDescent="0.25">
      <c r="A1004" s="1">
        <v>46089</v>
      </c>
      <c r="B1004" t="s">
        <v>829</v>
      </c>
      <c r="C1004" t="s">
        <v>830</v>
      </c>
      <c r="D1004">
        <v>8</v>
      </c>
      <c r="E1004" t="s">
        <v>58</v>
      </c>
    </row>
    <row r="1005" spans="1:5" x14ac:dyDescent="0.25">
      <c r="A1005" s="1">
        <v>46089</v>
      </c>
      <c r="B1005" t="s">
        <v>831</v>
      </c>
      <c r="C1005" t="s">
        <v>832</v>
      </c>
      <c r="D1005">
        <v>7</v>
      </c>
      <c r="E1005" t="s">
        <v>58</v>
      </c>
    </row>
    <row r="1006" spans="1:5" x14ac:dyDescent="0.25">
      <c r="A1006" s="1">
        <v>46089</v>
      </c>
      <c r="B1006" t="s">
        <v>833</v>
      </c>
      <c r="C1006" t="s">
        <v>834</v>
      </c>
      <c r="D1006">
        <v>1</v>
      </c>
      <c r="E1006" t="s">
        <v>58</v>
      </c>
    </row>
    <row r="1007" spans="1:5" x14ac:dyDescent="0.25">
      <c r="A1007" s="1">
        <v>46090</v>
      </c>
      <c r="B1007" t="s">
        <v>829</v>
      </c>
      <c r="C1007" t="s">
        <v>830</v>
      </c>
      <c r="D1007">
        <v>5</v>
      </c>
      <c r="E1007" t="s">
        <v>28</v>
      </c>
    </row>
    <row r="1008" spans="1:5" x14ac:dyDescent="0.25">
      <c r="A1008" s="1">
        <v>46090</v>
      </c>
      <c r="B1008" t="s">
        <v>831</v>
      </c>
      <c r="C1008" t="s">
        <v>832</v>
      </c>
      <c r="D1008">
        <v>11</v>
      </c>
      <c r="E1008" t="s">
        <v>28</v>
      </c>
    </row>
    <row r="1009" spans="1:5" x14ac:dyDescent="0.25">
      <c r="A1009" s="1">
        <v>46090</v>
      </c>
      <c r="B1009" t="s">
        <v>833</v>
      </c>
      <c r="C1009" t="s">
        <v>834</v>
      </c>
      <c r="D1009">
        <v>6</v>
      </c>
      <c r="E1009" t="s">
        <v>28</v>
      </c>
    </row>
    <row r="1010" spans="1:5" x14ac:dyDescent="0.25">
      <c r="A1010" s="1">
        <v>46090</v>
      </c>
      <c r="B1010" t="s">
        <v>829</v>
      </c>
      <c r="C1010" t="s">
        <v>830</v>
      </c>
      <c r="D1010">
        <v>5</v>
      </c>
      <c r="E1010" t="s">
        <v>126</v>
      </c>
    </row>
    <row r="1011" spans="1:5" x14ac:dyDescent="0.25">
      <c r="A1011" s="1">
        <v>46090</v>
      </c>
      <c r="B1011" t="s">
        <v>831</v>
      </c>
      <c r="C1011" t="s">
        <v>832</v>
      </c>
      <c r="D1011">
        <v>7</v>
      </c>
      <c r="E1011" t="s">
        <v>126</v>
      </c>
    </row>
    <row r="1012" spans="1:5" x14ac:dyDescent="0.25">
      <c r="A1012" s="1">
        <v>46090</v>
      </c>
      <c r="B1012" t="s">
        <v>833</v>
      </c>
      <c r="C1012" t="s">
        <v>834</v>
      </c>
      <c r="D1012">
        <v>5</v>
      </c>
      <c r="E1012" t="s">
        <v>126</v>
      </c>
    </row>
    <row r="1013" spans="1:5" x14ac:dyDescent="0.25">
      <c r="A1013" s="1">
        <v>46090</v>
      </c>
      <c r="B1013" t="s">
        <v>829</v>
      </c>
      <c r="C1013" t="s">
        <v>830</v>
      </c>
      <c r="D1013">
        <v>5</v>
      </c>
      <c r="E1013" t="s">
        <v>48</v>
      </c>
    </row>
    <row r="1014" spans="1:5" x14ac:dyDescent="0.25">
      <c r="A1014" s="1">
        <v>46090</v>
      </c>
      <c r="B1014" t="s">
        <v>831</v>
      </c>
      <c r="C1014" t="s">
        <v>832</v>
      </c>
      <c r="D1014">
        <v>3</v>
      </c>
      <c r="E1014" t="s">
        <v>48</v>
      </c>
    </row>
    <row r="1015" spans="1:5" x14ac:dyDescent="0.25">
      <c r="A1015" s="1">
        <v>46090</v>
      </c>
      <c r="B1015" t="s">
        <v>833</v>
      </c>
      <c r="C1015" t="s">
        <v>834</v>
      </c>
      <c r="D1015">
        <v>4</v>
      </c>
      <c r="E1015" t="s">
        <v>48</v>
      </c>
    </row>
    <row r="1016" spans="1:5" x14ac:dyDescent="0.25">
      <c r="A1016" s="1">
        <v>46090</v>
      </c>
      <c r="B1016" t="s">
        <v>829</v>
      </c>
      <c r="C1016" t="s">
        <v>830</v>
      </c>
      <c r="D1016">
        <v>4</v>
      </c>
      <c r="E1016" t="s">
        <v>21</v>
      </c>
    </row>
    <row r="1017" spans="1:5" x14ac:dyDescent="0.25">
      <c r="A1017" s="1">
        <v>46090</v>
      </c>
      <c r="B1017" t="s">
        <v>831</v>
      </c>
      <c r="C1017" t="s">
        <v>832</v>
      </c>
      <c r="D1017">
        <v>3</v>
      </c>
      <c r="E1017" t="s">
        <v>21</v>
      </c>
    </row>
    <row r="1018" spans="1:5" x14ac:dyDescent="0.25">
      <c r="A1018" s="1">
        <v>46090</v>
      </c>
      <c r="B1018" t="s">
        <v>833</v>
      </c>
      <c r="C1018" t="s">
        <v>834</v>
      </c>
      <c r="D1018">
        <v>1</v>
      </c>
      <c r="E1018" t="s">
        <v>21</v>
      </c>
    </row>
    <row r="1019" spans="1:5" x14ac:dyDescent="0.25">
      <c r="A1019" s="1">
        <v>46090</v>
      </c>
      <c r="B1019" t="s">
        <v>829</v>
      </c>
      <c r="C1019" t="s">
        <v>830</v>
      </c>
      <c r="D1019">
        <v>10</v>
      </c>
      <c r="E1019" t="s">
        <v>58</v>
      </c>
    </row>
    <row r="1020" spans="1:5" x14ac:dyDescent="0.25">
      <c r="A1020" s="1">
        <v>46090</v>
      </c>
      <c r="B1020" t="s">
        <v>831</v>
      </c>
      <c r="C1020" t="s">
        <v>832</v>
      </c>
      <c r="D1020">
        <v>5</v>
      </c>
      <c r="E1020" t="s">
        <v>58</v>
      </c>
    </row>
    <row r="1021" spans="1:5" x14ac:dyDescent="0.25">
      <c r="A1021" s="1">
        <v>46090</v>
      </c>
      <c r="B1021" t="s">
        <v>833</v>
      </c>
      <c r="C1021" t="s">
        <v>834</v>
      </c>
      <c r="D1021">
        <v>4</v>
      </c>
      <c r="E1021" t="s">
        <v>58</v>
      </c>
    </row>
    <row r="1022" spans="1:5" x14ac:dyDescent="0.25">
      <c r="A1022" s="1">
        <v>46091</v>
      </c>
      <c r="B1022" t="s">
        <v>829</v>
      </c>
      <c r="C1022" t="s">
        <v>830</v>
      </c>
      <c r="D1022">
        <v>5</v>
      </c>
      <c r="E1022" t="s">
        <v>28</v>
      </c>
    </row>
    <row r="1023" spans="1:5" x14ac:dyDescent="0.25">
      <c r="A1023" s="1">
        <v>46091</v>
      </c>
      <c r="B1023" t="s">
        <v>831</v>
      </c>
      <c r="C1023" t="s">
        <v>832</v>
      </c>
      <c r="D1023">
        <v>10</v>
      </c>
      <c r="E1023" t="s">
        <v>28</v>
      </c>
    </row>
    <row r="1024" spans="1:5" x14ac:dyDescent="0.25">
      <c r="A1024" s="1">
        <v>46091</v>
      </c>
      <c r="B1024" t="s">
        <v>833</v>
      </c>
      <c r="C1024" t="s">
        <v>834</v>
      </c>
      <c r="D1024">
        <v>5</v>
      </c>
      <c r="E1024" t="s">
        <v>28</v>
      </c>
    </row>
    <row r="1025" spans="1:5" x14ac:dyDescent="0.25">
      <c r="A1025" s="1">
        <v>46091</v>
      </c>
      <c r="B1025" t="s">
        <v>829</v>
      </c>
      <c r="C1025" t="s">
        <v>830</v>
      </c>
      <c r="D1025">
        <v>4</v>
      </c>
      <c r="E1025" t="s">
        <v>126</v>
      </c>
    </row>
    <row r="1026" spans="1:5" x14ac:dyDescent="0.25">
      <c r="A1026" s="1">
        <v>46091</v>
      </c>
      <c r="B1026" t="s">
        <v>831</v>
      </c>
      <c r="C1026" t="s">
        <v>832</v>
      </c>
      <c r="D1026">
        <v>3</v>
      </c>
      <c r="E1026" t="s">
        <v>126</v>
      </c>
    </row>
    <row r="1027" spans="1:5" x14ac:dyDescent="0.25">
      <c r="A1027" s="1">
        <v>46091</v>
      </c>
      <c r="B1027" t="s">
        <v>833</v>
      </c>
      <c r="C1027" t="s">
        <v>834</v>
      </c>
      <c r="D1027">
        <v>2</v>
      </c>
      <c r="E1027" t="s">
        <v>126</v>
      </c>
    </row>
    <row r="1028" spans="1:5" x14ac:dyDescent="0.25">
      <c r="A1028" s="1">
        <v>46091</v>
      </c>
      <c r="B1028" t="s">
        <v>829</v>
      </c>
      <c r="C1028" t="s">
        <v>830</v>
      </c>
      <c r="D1028">
        <v>8</v>
      </c>
      <c r="E1028" t="s">
        <v>48</v>
      </c>
    </row>
    <row r="1029" spans="1:5" x14ac:dyDescent="0.25">
      <c r="A1029" s="1">
        <v>46091</v>
      </c>
      <c r="B1029" t="s">
        <v>831</v>
      </c>
      <c r="C1029" t="s">
        <v>832</v>
      </c>
      <c r="D1029">
        <v>7</v>
      </c>
      <c r="E1029" t="s">
        <v>48</v>
      </c>
    </row>
    <row r="1030" spans="1:5" x14ac:dyDescent="0.25">
      <c r="A1030" s="1">
        <v>46091</v>
      </c>
      <c r="B1030" t="s">
        <v>833</v>
      </c>
      <c r="C1030" t="s">
        <v>834</v>
      </c>
      <c r="D1030">
        <v>2</v>
      </c>
      <c r="E1030" t="s">
        <v>48</v>
      </c>
    </row>
    <row r="1031" spans="1:5" x14ac:dyDescent="0.25">
      <c r="A1031" s="1">
        <v>46091</v>
      </c>
      <c r="B1031" t="s">
        <v>829</v>
      </c>
      <c r="C1031" t="s">
        <v>830</v>
      </c>
      <c r="D1031">
        <v>4</v>
      </c>
      <c r="E1031" t="s">
        <v>21</v>
      </c>
    </row>
    <row r="1032" spans="1:5" x14ac:dyDescent="0.25">
      <c r="A1032" s="1">
        <v>46091</v>
      </c>
      <c r="B1032" t="s">
        <v>831</v>
      </c>
      <c r="C1032" t="s">
        <v>832</v>
      </c>
      <c r="D1032">
        <v>5</v>
      </c>
      <c r="E1032" t="s">
        <v>21</v>
      </c>
    </row>
    <row r="1033" spans="1:5" x14ac:dyDescent="0.25">
      <c r="A1033" s="1">
        <v>46091</v>
      </c>
      <c r="B1033" t="s">
        <v>833</v>
      </c>
      <c r="C1033" t="s">
        <v>834</v>
      </c>
      <c r="D1033">
        <v>5</v>
      </c>
      <c r="E1033" t="s">
        <v>21</v>
      </c>
    </row>
    <row r="1034" spans="1:5" x14ac:dyDescent="0.25">
      <c r="A1034" s="1">
        <v>46091</v>
      </c>
      <c r="B1034" t="s">
        <v>829</v>
      </c>
      <c r="C1034" t="s">
        <v>830</v>
      </c>
      <c r="D1034">
        <v>8</v>
      </c>
      <c r="E1034" t="s">
        <v>58</v>
      </c>
    </row>
    <row r="1035" spans="1:5" x14ac:dyDescent="0.25">
      <c r="A1035" s="1">
        <v>46091</v>
      </c>
      <c r="B1035" t="s">
        <v>831</v>
      </c>
      <c r="C1035" t="s">
        <v>832</v>
      </c>
      <c r="D1035">
        <v>7</v>
      </c>
      <c r="E1035" t="s">
        <v>58</v>
      </c>
    </row>
    <row r="1036" spans="1:5" x14ac:dyDescent="0.25">
      <c r="A1036" s="1">
        <v>46091</v>
      </c>
      <c r="B1036" t="s">
        <v>833</v>
      </c>
      <c r="C1036" t="s">
        <v>834</v>
      </c>
      <c r="D1036">
        <v>5</v>
      </c>
      <c r="E1036" t="s">
        <v>58</v>
      </c>
    </row>
    <row r="1037" spans="1:5" x14ac:dyDescent="0.25">
      <c r="A1037" s="1">
        <v>46092</v>
      </c>
      <c r="B1037" t="s">
        <v>829</v>
      </c>
      <c r="C1037" t="s">
        <v>830</v>
      </c>
      <c r="D1037">
        <v>5</v>
      </c>
      <c r="E1037" t="s">
        <v>28</v>
      </c>
    </row>
    <row r="1038" spans="1:5" x14ac:dyDescent="0.25">
      <c r="A1038" s="1">
        <v>46092</v>
      </c>
      <c r="B1038" t="s">
        <v>831</v>
      </c>
      <c r="C1038" t="s">
        <v>832</v>
      </c>
      <c r="D1038">
        <v>8</v>
      </c>
      <c r="E1038" t="s">
        <v>28</v>
      </c>
    </row>
    <row r="1039" spans="1:5" x14ac:dyDescent="0.25">
      <c r="A1039" s="1">
        <v>46092</v>
      </c>
      <c r="B1039" t="s">
        <v>833</v>
      </c>
      <c r="C1039" t="s">
        <v>834</v>
      </c>
      <c r="D1039">
        <v>8</v>
      </c>
      <c r="E1039" t="s">
        <v>28</v>
      </c>
    </row>
    <row r="1040" spans="1:5" x14ac:dyDescent="0.25">
      <c r="A1040" s="1">
        <v>46092</v>
      </c>
      <c r="B1040" t="s">
        <v>829</v>
      </c>
      <c r="C1040" t="s">
        <v>830</v>
      </c>
      <c r="D1040">
        <v>8</v>
      </c>
      <c r="E1040" t="s">
        <v>126</v>
      </c>
    </row>
    <row r="1041" spans="1:5" x14ac:dyDescent="0.25">
      <c r="A1041" s="1">
        <v>46092</v>
      </c>
      <c r="B1041" t="s">
        <v>831</v>
      </c>
      <c r="C1041" t="s">
        <v>832</v>
      </c>
      <c r="D1041">
        <v>5</v>
      </c>
      <c r="E1041" t="s">
        <v>126</v>
      </c>
    </row>
    <row r="1042" spans="1:5" x14ac:dyDescent="0.25">
      <c r="A1042" s="1">
        <v>46092</v>
      </c>
      <c r="B1042" t="s">
        <v>833</v>
      </c>
      <c r="C1042" t="s">
        <v>834</v>
      </c>
      <c r="D1042">
        <v>2</v>
      </c>
      <c r="E1042" t="s">
        <v>126</v>
      </c>
    </row>
    <row r="1043" spans="1:5" x14ac:dyDescent="0.25">
      <c r="A1043" s="1">
        <v>46092</v>
      </c>
      <c r="B1043" t="s">
        <v>829</v>
      </c>
      <c r="C1043" t="s">
        <v>830</v>
      </c>
      <c r="D1043">
        <v>4</v>
      </c>
      <c r="E1043" t="s">
        <v>48</v>
      </c>
    </row>
    <row r="1044" spans="1:5" x14ac:dyDescent="0.25">
      <c r="A1044" s="1">
        <v>46092</v>
      </c>
      <c r="B1044" t="s">
        <v>831</v>
      </c>
      <c r="C1044" t="s">
        <v>832</v>
      </c>
      <c r="D1044">
        <v>5</v>
      </c>
      <c r="E1044" t="s">
        <v>48</v>
      </c>
    </row>
    <row r="1045" spans="1:5" x14ac:dyDescent="0.25">
      <c r="A1045" s="1">
        <v>46092</v>
      </c>
      <c r="B1045" t="s">
        <v>833</v>
      </c>
      <c r="C1045" t="s">
        <v>834</v>
      </c>
      <c r="D1045">
        <v>3</v>
      </c>
      <c r="E1045" t="s">
        <v>48</v>
      </c>
    </row>
    <row r="1046" spans="1:5" x14ac:dyDescent="0.25">
      <c r="A1046" s="1">
        <v>46092</v>
      </c>
      <c r="B1046" t="s">
        <v>829</v>
      </c>
      <c r="C1046" t="s">
        <v>830</v>
      </c>
      <c r="D1046">
        <v>5</v>
      </c>
      <c r="E1046" t="s">
        <v>21</v>
      </c>
    </row>
    <row r="1047" spans="1:5" x14ac:dyDescent="0.25">
      <c r="A1047" s="1">
        <v>46092</v>
      </c>
      <c r="B1047" t="s">
        <v>831</v>
      </c>
      <c r="C1047" t="s">
        <v>832</v>
      </c>
      <c r="D1047">
        <v>3</v>
      </c>
      <c r="E1047" t="s">
        <v>21</v>
      </c>
    </row>
    <row r="1048" spans="1:5" x14ac:dyDescent="0.25">
      <c r="A1048" s="1">
        <v>46092</v>
      </c>
      <c r="B1048" t="s">
        <v>833</v>
      </c>
      <c r="C1048" t="s">
        <v>834</v>
      </c>
      <c r="D1048">
        <v>2</v>
      </c>
      <c r="E1048" t="s">
        <v>21</v>
      </c>
    </row>
    <row r="1049" spans="1:5" x14ac:dyDescent="0.25">
      <c r="A1049" s="1">
        <v>46092</v>
      </c>
      <c r="B1049" t="s">
        <v>829</v>
      </c>
      <c r="C1049" t="s">
        <v>830</v>
      </c>
      <c r="D1049">
        <v>9</v>
      </c>
      <c r="E1049" t="s">
        <v>58</v>
      </c>
    </row>
    <row r="1050" spans="1:5" x14ac:dyDescent="0.25">
      <c r="A1050" s="1">
        <v>46092</v>
      </c>
      <c r="B1050" t="s">
        <v>831</v>
      </c>
      <c r="C1050" t="s">
        <v>832</v>
      </c>
      <c r="D1050">
        <v>4</v>
      </c>
      <c r="E1050" t="s">
        <v>58</v>
      </c>
    </row>
    <row r="1051" spans="1:5" x14ac:dyDescent="0.25">
      <c r="A1051" s="1">
        <v>46092</v>
      </c>
      <c r="B1051" t="s">
        <v>833</v>
      </c>
      <c r="C1051" t="s">
        <v>834</v>
      </c>
      <c r="D1051">
        <v>5</v>
      </c>
      <c r="E1051" t="s">
        <v>58</v>
      </c>
    </row>
    <row r="1052" spans="1:5" x14ac:dyDescent="0.25">
      <c r="A1052" s="1">
        <v>46093</v>
      </c>
      <c r="B1052" t="s">
        <v>829</v>
      </c>
      <c r="C1052" t="s">
        <v>830</v>
      </c>
      <c r="D1052">
        <v>5</v>
      </c>
      <c r="E1052" t="s">
        <v>28</v>
      </c>
    </row>
    <row r="1053" spans="1:5" x14ac:dyDescent="0.25">
      <c r="A1053" s="1">
        <v>46093</v>
      </c>
      <c r="B1053" t="s">
        <v>831</v>
      </c>
      <c r="C1053" t="s">
        <v>832</v>
      </c>
      <c r="D1053">
        <v>10</v>
      </c>
      <c r="E1053" t="s">
        <v>28</v>
      </c>
    </row>
    <row r="1054" spans="1:5" x14ac:dyDescent="0.25">
      <c r="A1054" s="1">
        <v>46093</v>
      </c>
      <c r="B1054" t="s">
        <v>833</v>
      </c>
      <c r="C1054" t="s">
        <v>834</v>
      </c>
      <c r="D1054">
        <v>7</v>
      </c>
      <c r="E1054" t="s">
        <v>28</v>
      </c>
    </row>
    <row r="1055" spans="1:5" x14ac:dyDescent="0.25">
      <c r="A1055" s="1">
        <v>46093</v>
      </c>
      <c r="B1055" t="s">
        <v>829</v>
      </c>
      <c r="C1055" t="s">
        <v>830</v>
      </c>
      <c r="D1055">
        <v>6</v>
      </c>
      <c r="E1055" t="s">
        <v>126</v>
      </c>
    </row>
    <row r="1056" spans="1:5" x14ac:dyDescent="0.25">
      <c r="A1056" s="1">
        <v>46093</v>
      </c>
      <c r="B1056" t="s">
        <v>831</v>
      </c>
      <c r="C1056" t="s">
        <v>832</v>
      </c>
      <c r="D1056">
        <v>4</v>
      </c>
      <c r="E1056" t="s">
        <v>126</v>
      </c>
    </row>
    <row r="1057" spans="1:5" x14ac:dyDescent="0.25">
      <c r="A1057" s="1">
        <v>46093</v>
      </c>
      <c r="B1057" t="s">
        <v>833</v>
      </c>
      <c r="C1057" t="s">
        <v>834</v>
      </c>
      <c r="D1057">
        <v>5</v>
      </c>
      <c r="E1057" t="s">
        <v>126</v>
      </c>
    </row>
    <row r="1058" spans="1:5" x14ac:dyDescent="0.25">
      <c r="A1058" s="1">
        <v>46093</v>
      </c>
      <c r="B1058" t="s">
        <v>829</v>
      </c>
      <c r="C1058" t="s">
        <v>830</v>
      </c>
      <c r="D1058">
        <v>6</v>
      </c>
      <c r="E1058" t="s">
        <v>48</v>
      </c>
    </row>
    <row r="1059" spans="1:5" x14ac:dyDescent="0.25">
      <c r="A1059" s="1">
        <v>46093</v>
      </c>
      <c r="B1059" t="s">
        <v>831</v>
      </c>
      <c r="C1059" t="s">
        <v>832</v>
      </c>
      <c r="D1059">
        <v>3</v>
      </c>
      <c r="E1059" t="s">
        <v>48</v>
      </c>
    </row>
    <row r="1060" spans="1:5" x14ac:dyDescent="0.25">
      <c r="A1060" s="1">
        <v>46093</v>
      </c>
      <c r="B1060" t="s">
        <v>833</v>
      </c>
      <c r="C1060" t="s">
        <v>834</v>
      </c>
      <c r="D1060">
        <v>2</v>
      </c>
      <c r="E1060" t="s">
        <v>48</v>
      </c>
    </row>
    <row r="1061" spans="1:5" x14ac:dyDescent="0.25">
      <c r="A1061" s="1">
        <v>46093</v>
      </c>
      <c r="B1061" t="s">
        <v>829</v>
      </c>
      <c r="C1061" t="s">
        <v>830</v>
      </c>
      <c r="D1061">
        <v>4</v>
      </c>
      <c r="E1061" t="s">
        <v>21</v>
      </c>
    </row>
    <row r="1062" spans="1:5" x14ac:dyDescent="0.25">
      <c r="A1062" s="1">
        <v>46093</v>
      </c>
      <c r="B1062" t="s">
        <v>831</v>
      </c>
      <c r="C1062" t="s">
        <v>832</v>
      </c>
      <c r="D1062">
        <v>6</v>
      </c>
      <c r="E1062" t="s">
        <v>21</v>
      </c>
    </row>
    <row r="1063" spans="1:5" x14ac:dyDescent="0.25">
      <c r="A1063" s="1">
        <v>46093</v>
      </c>
      <c r="B1063" t="s">
        <v>833</v>
      </c>
      <c r="C1063" t="s">
        <v>834</v>
      </c>
      <c r="D1063">
        <v>5</v>
      </c>
      <c r="E1063" t="s">
        <v>21</v>
      </c>
    </row>
    <row r="1064" spans="1:5" x14ac:dyDescent="0.25">
      <c r="A1064" s="1">
        <v>46093</v>
      </c>
      <c r="B1064" t="s">
        <v>829</v>
      </c>
      <c r="C1064" t="s">
        <v>830</v>
      </c>
      <c r="D1064">
        <v>10</v>
      </c>
      <c r="E1064" t="s">
        <v>58</v>
      </c>
    </row>
    <row r="1065" spans="1:5" x14ac:dyDescent="0.25">
      <c r="A1065" s="1">
        <v>46093</v>
      </c>
      <c r="B1065" t="s">
        <v>831</v>
      </c>
      <c r="C1065" t="s">
        <v>832</v>
      </c>
      <c r="D1065">
        <v>4</v>
      </c>
      <c r="E1065" t="s">
        <v>58</v>
      </c>
    </row>
    <row r="1066" spans="1:5" x14ac:dyDescent="0.25">
      <c r="A1066" s="1">
        <v>46093</v>
      </c>
      <c r="B1066" t="s">
        <v>833</v>
      </c>
      <c r="C1066" t="s">
        <v>834</v>
      </c>
      <c r="D1066">
        <v>4</v>
      </c>
      <c r="E1066" t="s">
        <v>58</v>
      </c>
    </row>
    <row r="1067" spans="1:5" x14ac:dyDescent="0.25">
      <c r="A1067" s="1">
        <v>46094</v>
      </c>
      <c r="B1067" t="s">
        <v>829</v>
      </c>
      <c r="C1067" t="s">
        <v>830</v>
      </c>
      <c r="D1067">
        <v>8</v>
      </c>
      <c r="E1067" t="s">
        <v>28</v>
      </c>
    </row>
    <row r="1068" spans="1:5" x14ac:dyDescent="0.25">
      <c r="A1068" s="1">
        <v>46094</v>
      </c>
      <c r="B1068" t="s">
        <v>831</v>
      </c>
      <c r="C1068" t="s">
        <v>832</v>
      </c>
      <c r="D1068">
        <v>12</v>
      </c>
      <c r="E1068" t="s">
        <v>28</v>
      </c>
    </row>
    <row r="1069" spans="1:5" x14ac:dyDescent="0.25">
      <c r="A1069" s="1">
        <v>46094</v>
      </c>
      <c r="B1069" t="s">
        <v>833</v>
      </c>
      <c r="C1069" t="s">
        <v>834</v>
      </c>
      <c r="D1069">
        <v>5</v>
      </c>
      <c r="E1069" t="s">
        <v>28</v>
      </c>
    </row>
    <row r="1070" spans="1:5" x14ac:dyDescent="0.25">
      <c r="A1070" s="1">
        <v>46094</v>
      </c>
      <c r="B1070" t="s">
        <v>829</v>
      </c>
      <c r="C1070" t="s">
        <v>830</v>
      </c>
      <c r="D1070">
        <v>8</v>
      </c>
      <c r="E1070" t="s">
        <v>126</v>
      </c>
    </row>
    <row r="1071" spans="1:5" x14ac:dyDescent="0.25">
      <c r="A1071" s="1">
        <v>46094</v>
      </c>
      <c r="B1071" t="s">
        <v>831</v>
      </c>
      <c r="C1071" t="s">
        <v>832</v>
      </c>
      <c r="D1071">
        <v>3</v>
      </c>
      <c r="E1071" t="s">
        <v>126</v>
      </c>
    </row>
    <row r="1072" spans="1:5" x14ac:dyDescent="0.25">
      <c r="A1072" s="1">
        <v>46094</v>
      </c>
      <c r="B1072" t="s">
        <v>833</v>
      </c>
      <c r="C1072" t="s">
        <v>834</v>
      </c>
      <c r="D1072">
        <v>2</v>
      </c>
      <c r="E1072" t="s">
        <v>126</v>
      </c>
    </row>
    <row r="1073" spans="1:5" x14ac:dyDescent="0.25">
      <c r="A1073" s="1">
        <v>46094</v>
      </c>
      <c r="B1073" t="s">
        <v>829</v>
      </c>
      <c r="C1073" t="s">
        <v>830</v>
      </c>
      <c r="D1073">
        <v>7</v>
      </c>
      <c r="E1073" t="s">
        <v>48</v>
      </c>
    </row>
    <row r="1074" spans="1:5" x14ac:dyDescent="0.25">
      <c r="A1074" s="1">
        <v>46094</v>
      </c>
      <c r="B1074" t="s">
        <v>831</v>
      </c>
      <c r="C1074" t="s">
        <v>832</v>
      </c>
      <c r="D1074">
        <v>5</v>
      </c>
      <c r="E1074" t="s">
        <v>48</v>
      </c>
    </row>
    <row r="1075" spans="1:5" x14ac:dyDescent="0.25">
      <c r="A1075" s="1">
        <v>46094</v>
      </c>
      <c r="B1075" t="s">
        <v>833</v>
      </c>
      <c r="C1075" t="s">
        <v>834</v>
      </c>
      <c r="D1075">
        <v>4</v>
      </c>
      <c r="E1075" t="s">
        <v>48</v>
      </c>
    </row>
    <row r="1076" spans="1:5" x14ac:dyDescent="0.25">
      <c r="A1076" s="1">
        <v>46094</v>
      </c>
      <c r="B1076" t="s">
        <v>829</v>
      </c>
      <c r="C1076" t="s">
        <v>830</v>
      </c>
      <c r="D1076">
        <v>6</v>
      </c>
      <c r="E1076" t="s">
        <v>21</v>
      </c>
    </row>
    <row r="1077" spans="1:5" x14ac:dyDescent="0.25">
      <c r="A1077" s="1">
        <v>46094</v>
      </c>
      <c r="B1077" t="s">
        <v>831</v>
      </c>
      <c r="C1077" t="s">
        <v>832</v>
      </c>
      <c r="D1077">
        <v>5</v>
      </c>
      <c r="E1077" t="s">
        <v>21</v>
      </c>
    </row>
    <row r="1078" spans="1:5" x14ac:dyDescent="0.25">
      <c r="A1078" s="1">
        <v>46094</v>
      </c>
      <c r="B1078" t="s">
        <v>833</v>
      </c>
      <c r="C1078" t="s">
        <v>834</v>
      </c>
      <c r="D1078">
        <v>4</v>
      </c>
      <c r="E1078" t="s">
        <v>21</v>
      </c>
    </row>
    <row r="1079" spans="1:5" x14ac:dyDescent="0.25">
      <c r="A1079" s="1">
        <v>46094</v>
      </c>
      <c r="B1079" t="s">
        <v>829</v>
      </c>
      <c r="C1079" t="s">
        <v>830</v>
      </c>
      <c r="D1079">
        <v>7</v>
      </c>
      <c r="E1079" t="s">
        <v>58</v>
      </c>
    </row>
    <row r="1080" spans="1:5" x14ac:dyDescent="0.25">
      <c r="A1080" s="1">
        <v>46094</v>
      </c>
      <c r="B1080" t="s">
        <v>831</v>
      </c>
      <c r="C1080" t="s">
        <v>832</v>
      </c>
      <c r="D1080">
        <v>6</v>
      </c>
      <c r="E1080" t="s">
        <v>58</v>
      </c>
    </row>
    <row r="1081" spans="1:5" x14ac:dyDescent="0.25">
      <c r="A1081" s="1">
        <v>46094</v>
      </c>
      <c r="B1081" t="s">
        <v>833</v>
      </c>
      <c r="C1081" t="s">
        <v>834</v>
      </c>
      <c r="D1081">
        <v>5</v>
      </c>
      <c r="E1081" t="s">
        <v>58</v>
      </c>
    </row>
    <row r="1082" spans="1:5" x14ac:dyDescent="0.25">
      <c r="A1082" s="1">
        <v>46095</v>
      </c>
      <c r="B1082" t="s">
        <v>829</v>
      </c>
      <c r="C1082" t="s">
        <v>830</v>
      </c>
      <c r="D1082">
        <v>7</v>
      </c>
      <c r="E1082" t="s">
        <v>28</v>
      </c>
    </row>
    <row r="1083" spans="1:5" x14ac:dyDescent="0.25">
      <c r="A1083" s="1">
        <v>46095</v>
      </c>
      <c r="B1083" t="s">
        <v>831</v>
      </c>
      <c r="C1083" t="s">
        <v>832</v>
      </c>
      <c r="D1083">
        <v>10</v>
      </c>
      <c r="E1083" t="s">
        <v>28</v>
      </c>
    </row>
    <row r="1084" spans="1:5" x14ac:dyDescent="0.25">
      <c r="A1084" s="1">
        <v>46095</v>
      </c>
      <c r="B1084" t="s">
        <v>833</v>
      </c>
      <c r="C1084" t="s">
        <v>834</v>
      </c>
      <c r="D1084">
        <v>3</v>
      </c>
      <c r="E1084" t="s">
        <v>28</v>
      </c>
    </row>
    <row r="1085" spans="1:5" x14ac:dyDescent="0.25">
      <c r="A1085" s="1">
        <v>46095</v>
      </c>
      <c r="B1085" t="s">
        <v>829</v>
      </c>
      <c r="C1085" t="s">
        <v>830</v>
      </c>
      <c r="D1085">
        <v>5</v>
      </c>
      <c r="E1085" t="s">
        <v>126</v>
      </c>
    </row>
    <row r="1086" spans="1:5" x14ac:dyDescent="0.25">
      <c r="A1086" s="1">
        <v>46095</v>
      </c>
      <c r="B1086" t="s">
        <v>831</v>
      </c>
      <c r="C1086" t="s">
        <v>832</v>
      </c>
      <c r="D1086">
        <v>3</v>
      </c>
      <c r="E1086" t="s">
        <v>126</v>
      </c>
    </row>
    <row r="1087" spans="1:5" x14ac:dyDescent="0.25">
      <c r="A1087" s="1">
        <v>46095</v>
      </c>
      <c r="B1087" t="s">
        <v>833</v>
      </c>
      <c r="C1087" t="s">
        <v>834</v>
      </c>
      <c r="D1087">
        <v>3</v>
      </c>
      <c r="E1087" t="s">
        <v>126</v>
      </c>
    </row>
    <row r="1088" spans="1:5" x14ac:dyDescent="0.25">
      <c r="A1088" s="1">
        <v>46095</v>
      </c>
      <c r="B1088" t="s">
        <v>829</v>
      </c>
      <c r="C1088" t="s">
        <v>830</v>
      </c>
      <c r="D1088">
        <v>6</v>
      </c>
      <c r="E1088" t="s">
        <v>48</v>
      </c>
    </row>
    <row r="1089" spans="1:5" x14ac:dyDescent="0.25">
      <c r="A1089" s="1">
        <v>46095</v>
      </c>
      <c r="B1089" t="s">
        <v>831</v>
      </c>
      <c r="C1089" t="s">
        <v>832</v>
      </c>
      <c r="D1089">
        <v>3</v>
      </c>
      <c r="E1089" t="s">
        <v>48</v>
      </c>
    </row>
    <row r="1090" spans="1:5" x14ac:dyDescent="0.25">
      <c r="A1090" s="1">
        <v>46095</v>
      </c>
      <c r="B1090" t="s">
        <v>833</v>
      </c>
      <c r="C1090" t="s">
        <v>834</v>
      </c>
      <c r="D1090">
        <v>1</v>
      </c>
      <c r="E1090" t="s">
        <v>48</v>
      </c>
    </row>
    <row r="1091" spans="1:5" x14ac:dyDescent="0.25">
      <c r="A1091" s="1">
        <v>46095</v>
      </c>
      <c r="B1091" t="s">
        <v>829</v>
      </c>
      <c r="C1091" t="s">
        <v>830</v>
      </c>
      <c r="D1091">
        <v>6</v>
      </c>
      <c r="E1091" t="s">
        <v>21</v>
      </c>
    </row>
    <row r="1092" spans="1:5" x14ac:dyDescent="0.25">
      <c r="A1092" s="1">
        <v>46095</v>
      </c>
      <c r="B1092" t="s">
        <v>831</v>
      </c>
      <c r="C1092" t="s">
        <v>832</v>
      </c>
      <c r="D1092">
        <v>3</v>
      </c>
      <c r="E1092" t="s">
        <v>21</v>
      </c>
    </row>
    <row r="1093" spans="1:5" x14ac:dyDescent="0.25">
      <c r="A1093" s="1">
        <v>46095</v>
      </c>
      <c r="B1093" t="s">
        <v>833</v>
      </c>
      <c r="C1093" t="s">
        <v>834</v>
      </c>
      <c r="D1093">
        <v>3</v>
      </c>
      <c r="E1093" t="s">
        <v>21</v>
      </c>
    </row>
    <row r="1094" spans="1:5" x14ac:dyDescent="0.25">
      <c r="A1094" s="1">
        <v>46095</v>
      </c>
      <c r="B1094" t="s">
        <v>829</v>
      </c>
      <c r="C1094" t="s">
        <v>830</v>
      </c>
      <c r="D1094">
        <v>6</v>
      </c>
      <c r="E1094" t="s">
        <v>58</v>
      </c>
    </row>
    <row r="1095" spans="1:5" x14ac:dyDescent="0.25">
      <c r="A1095" s="1">
        <v>46095</v>
      </c>
      <c r="B1095" t="s">
        <v>831</v>
      </c>
      <c r="C1095" t="s">
        <v>832</v>
      </c>
      <c r="D1095">
        <v>3</v>
      </c>
      <c r="E1095" t="s">
        <v>58</v>
      </c>
    </row>
    <row r="1096" spans="1:5" x14ac:dyDescent="0.25">
      <c r="A1096" s="1">
        <v>46095</v>
      </c>
      <c r="B1096" t="s">
        <v>833</v>
      </c>
      <c r="C1096" t="s">
        <v>834</v>
      </c>
      <c r="D1096">
        <v>3</v>
      </c>
      <c r="E1096" t="s">
        <v>58</v>
      </c>
    </row>
    <row r="1097" spans="1:5" x14ac:dyDescent="0.25">
      <c r="A1097" s="1">
        <v>46096</v>
      </c>
      <c r="B1097" t="s">
        <v>829</v>
      </c>
      <c r="C1097" t="s">
        <v>830</v>
      </c>
      <c r="D1097">
        <v>7</v>
      </c>
      <c r="E1097" t="s">
        <v>28</v>
      </c>
    </row>
    <row r="1098" spans="1:5" x14ac:dyDescent="0.25">
      <c r="A1098" s="1">
        <v>46096</v>
      </c>
      <c r="B1098" t="s">
        <v>831</v>
      </c>
      <c r="C1098" t="s">
        <v>832</v>
      </c>
      <c r="D1098">
        <v>8</v>
      </c>
      <c r="E1098" t="s">
        <v>28</v>
      </c>
    </row>
    <row r="1099" spans="1:5" x14ac:dyDescent="0.25">
      <c r="A1099" s="1">
        <v>46096</v>
      </c>
      <c r="B1099" t="s">
        <v>833</v>
      </c>
      <c r="C1099" t="s">
        <v>834</v>
      </c>
      <c r="D1099">
        <v>4</v>
      </c>
      <c r="E1099" t="s">
        <v>28</v>
      </c>
    </row>
    <row r="1100" spans="1:5" x14ac:dyDescent="0.25">
      <c r="A1100" s="1">
        <v>46096</v>
      </c>
      <c r="B1100" t="s">
        <v>829</v>
      </c>
      <c r="C1100" t="s">
        <v>830</v>
      </c>
      <c r="D1100">
        <v>3</v>
      </c>
      <c r="E1100" t="s">
        <v>126</v>
      </c>
    </row>
    <row r="1101" spans="1:5" x14ac:dyDescent="0.25">
      <c r="A1101" s="1">
        <v>46096</v>
      </c>
      <c r="B1101" t="s">
        <v>831</v>
      </c>
      <c r="C1101" t="s">
        <v>832</v>
      </c>
      <c r="D1101">
        <v>2</v>
      </c>
      <c r="E1101" t="s">
        <v>126</v>
      </c>
    </row>
    <row r="1102" spans="1:5" x14ac:dyDescent="0.25">
      <c r="A1102" s="1">
        <v>46096</v>
      </c>
      <c r="B1102" t="s">
        <v>833</v>
      </c>
      <c r="C1102" t="s">
        <v>834</v>
      </c>
      <c r="D1102">
        <v>4</v>
      </c>
      <c r="E1102" t="s">
        <v>126</v>
      </c>
    </row>
    <row r="1103" spans="1:5" x14ac:dyDescent="0.25">
      <c r="A1103" s="1">
        <v>46096</v>
      </c>
      <c r="B1103" t="s">
        <v>829</v>
      </c>
      <c r="C1103" t="s">
        <v>830</v>
      </c>
      <c r="D1103">
        <v>4</v>
      </c>
      <c r="E1103" t="s">
        <v>48</v>
      </c>
    </row>
    <row r="1104" spans="1:5" x14ac:dyDescent="0.25">
      <c r="A1104" s="1">
        <v>46096</v>
      </c>
      <c r="B1104" t="s">
        <v>831</v>
      </c>
      <c r="C1104" t="s">
        <v>832</v>
      </c>
      <c r="D1104">
        <v>5</v>
      </c>
      <c r="E1104" t="s">
        <v>48</v>
      </c>
    </row>
    <row r="1105" spans="1:5" x14ac:dyDescent="0.25">
      <c r="A1105" s="1">
        <v>46096</v>
      </c>
      <c r="B1105" t="s">
        <v>833</v>
      </c>
      <c r="C1105" t="s">
        <v>834</v>
      </c>
      <c r="D1105">
        <v>1</v>
      </c>
      <c r="E1105" t="s">
        <v>48</v>
      </c>
    </row>
    <row r="1106" spans="1:5" x14ac:dyDescent="0.25">
      <c r="A1106" s="1">
        <v>46096</v>
      </c>
      <c r="B1106" t="s">
        <v>829</v>
      </c>
      <c r="C1106" t="s">
        <v>830</v>
      </c>
      <c r="D1106">
        <v>7</v>
      </c>
      <c r="E1106" t="s">
        <v>21</v>
      </c>
    </row>
    <row r="1107" spans="1:5" x14ac:dyDescent="0.25">
      <c r="A1107" s="1">
        <v>46096</v>
      </c>
      <c r="B1107" t="s">
        <v>831</v>
      </c>
      <c r="C1107" t="s">
        <v>832</v>
      </c>
      <c r="D1107">
        <v>6</v>
      </c>
      <c r="E1107" t="s">
        <v>21</v>
      </c>
    </row>
    <row r="1108" spans="1:5" x14ac:dyDescent="0.25">
      <c r="A1108" s="1">
        <v>46096</v>
      </c>
      <c r="B1108" t="s">
        <v>833</v>
      </c>
      <c r="C1108" t="s">
        <v>834</v>
      </c>
      <c r="D1108">
        <v>2</v>
      </c>
      <c r="E1108" t="s">
        <v>21</v>
      </c>
    </row>
    <row r="1109" spans="1:5" x14ac:dyDescent="0.25">
      <c r="A1109" s="1">
        <v>46096</v>
      </c>
      <c r="B1109" t="s">
        <v>829</v>
      </c>
      <c r="C1109" t="s">
        <v>830</v>
      </c>
      <c r="D1109">
        <v>10</v>
      </c>
      <c r="E1109" t="s">
        <v>58</v>
      </c>
    </row>
    <row r="1110" spans="1:5" x14ac:dyDescent="0.25">
      <c r="A1110" s="1">
        <v>46096</v>
      </c>
      <c r="B1110" t="s">
        <v>831</v>
      </c>
      <c r="C1110" t="s">
        <v>832</v>
      </c>
      <c r="D1110">
        <v>4</v>
      </c>
      <c r="E1110" t="s">
        <v>58</v>
      </c>
    </row>
    <row r="1111" spans="1:5" x14ac:dyDescent="0.25">
      <c r="A1111" s="1">
        <v>46096</v>
      </c>
      <c r="B1111" t="s">
        <v>833</v>
      </c>
      <c r="C1111" t="s">
        <v>834</v>
      </c>
      <c r="D1111">
        <v>1</v>
      </c>
      <c r="E1111" t="s">
        <v>58</v>
      </c>
    </row>
    <row r="1112" spans="1:5" x14ac:dyDescent="0.25">
      <c r="A1112" s="1">
        <v>46097</v>
      </c>
      <c r="B1112" t="s">
        <v>829</v>
      </c>
      <c r="C1112" t="s">
        <v>830</v>
      </c>
      <c r="D1112">
        <v>7</v>
      </c>
      <c r="E1112" t="s">
        <v>28</v>
      </c>
    </row>
    <row r="1113" spans="1:5" x14ac:dyDescent="0.25">
      <c r="A1113" s="1">
        <v>46097</v>
      </c>
      <c r="B1113" t="s">
        <v>831</v>
      </c>
      <c r="C1113" t="s">
        <v>832</v>
      </c>
      <c r="D1113">
        <v>9</v>
      </c>
      <c r="E1113" t="s">
        <v>28</v>
      </c>
    </row>
    <row r="1114" spans="1:5" x14ac:dyDescent="0.25">
      <c r="A1114" s="1">
        <v>46097</v>
      </c>
      <c r="B1114" t="s">
        <v>833</v>
      </c>
      <c r="C1114" t="s">
        <v>834</v>
      </c>
      <c r="D1114">
        <v>8</v>
      </c>
      <c r="E1114" t="s">
        <v>28</v>
      </c>
    </row>
    <row r="1115" spans="1:5" x14ac:dyDescent="0.25">
      <c r="A1115" s="1">
        <v>46097</v>
      </c>
      <c r="B1115" t="s">
        <v>829</v>
      </c>
      <c r="C1115" t="s">
        <v>830</v>
      </c>
      <c r="D1115">
        <v>5</v>
      </c>
      <c r="E1115" t="s">
        <v>126</v>
      </c>
    </row>
    <row r="1116" spans="1:5" x14ac:dyDescent="0.25">
      <c r="A1116" s="1">
        <v>46097</v>
      </c>
      <c r="B1116" t="s">
        <v>831</v>
      </c>
      <c r="C1116" t="s">
        <v>832</v>
      </c>
      <c r="D1116">
        <v>3</v>
      </c>
      <c r="E1116" t="s">
        <v>126</v>
      </c>
    </row>
    <row r="1117" spans="1:5" x14ac:dyDescent="0.25">
      <c r="A1117" s="1">
        <v>46097</v>
      </c>
      <c r="B1117" t="s">
        <v>833</v>
      </c>
      <c r="C1117" t="s">
        <v>834</v>
      </c>
      <c r="D1117">
        <v>1</v>
      </c>
      <c r="E1117" t="s">
        <v>126</v>
      </c>
    </row>
    <row r="1118" spans="1:5" x14ac:dyDescent="0.25">
      <c r="A1118" s="1">
        <v>46097</v>
      </c>
      <c r="B1118" t="s">
        <v>829</v>
      </c>
      <c r="C1118" t="s">
        <v>830</v>
      </c>
      <c r="D1118">
        <v>7</v>
      </c>
      <c r="E1118" t="s">
        <v>48</v>
      </c>
    </row>
    <row r="1119" spans="1:5" x14ac:dyDescent="0.25">
      <c r="A1119" s="1">
        <v>46097</v>
      </c>
      <c r="B1119" t="s">
        <v>831</v>
      </c>
      <c r="C1119" t="s">
        <v>832</v>
      </c>
      <c r="D1119">
        <v>6</v>
      </c>
      <c r="E1119" t="s">
        <v>48</v>
      </c>
    </row>
    <row r="1120" spans="1:5" x14ac:dyDescent="0.25">
      <c r="A1120" s="1">
        <v>46097</v>
      </c>
      <c r="B1120" t="s">
        <v>833</v>
      </c>
      <c r="C1120" t="s">
        <v>834</v>
      </c>
      <c r="D1120">
        <v>2</v>
      </c>
      <c r="E1120" t="s">
        <v>48</v>
      </c>
    </row>
    <row r="1121" spans="1:5" x14ac:dyDescent="0.25">
      <c r="A1121" s="1">
        <v>46097</v>
      </c>
      <c r="B1121" t="s">
        <v>829</v>
      </c>
      <c r="C1121" t="s">
        <v>830</v>
      </c>
      <c r="D1121">
        <v>6</v>
      </c>
      <c r="E1121" t="s">
        <v>21</v>
      </c>
    </row>
    <row r="1122" spans="1:5" x14ac:dyDescent="0.25">
      <c r="A1122" s="1">
        <v>46097</v>
      </c>
      <c r="B1122" t="s">
        <v>831</v>
      </c>
      <c r="C1122" t="s">
        <v>832</v>
      </c>
      <c r="D1122">
        <v>4</v>
      </c>
      <c r="E1122" t="s">
        <v>21</v>
      </c>
    </row>
    <row r="1123" spans="1:5" x14ac:dyDescent="0.25">
      <c r="A1123" s="1">
        <v>46097</v>
      </c>
      <c r="B1123" t="s">
        <v>833</v>
      </c>
      <c r="C1123" t="s">
        <v>834</v>
      </c>
      <c r="D1123">
        <v>1</v>
      </c>
      <c r="E1123" t="s">
        <v>21</v>
      </c>
    </row>
    <row r="1124" spans="1:5" x14ac:dyDescent="0.25">
      <c r="A1124" s="1">
        <v>46097</v>
      </c>
      <c r="B1124" t="s">
        <v>829</v>
      </c>
      <c r="C1124" t="s">
        <v>830</v>
      </c>
      <c r="D1124">
        <v>10</v>
      </c>
      <c r="E1124" t="s">
        <v>58</v>
      </c>
    </row>
    <row r="1125" spans="1:5" x14ac:dyDescent="0.25">
      <c r="A1125" s="1">
        <v>46097</v>
      </c>
      <c r="B1125" t="s">
        <v>831</v>
      </c>
      <c r="C1125" t="s">
        <v>832</v>
      </c>
      <c r="D1125">
        <v>6</v>
      </c>
      <c r="E1125" t="s">
        <v>58</v>
      </c>
    </row>
    <row r="1126" spans="1:5" x14ac:dyDescent="0.25">
      <c r="A1126" s="1">
        <v>46097</v>
      </c>
      <c r="B1126" t="s">
        <v>833</v>
      </c>
      <c r="C1126" t="s">
        <v>834</v>
      </c>
      <c r="D1126">
        <v>1</v>
      </c>
      <c r="E1126" t="s">
        <v>58</v>
      </c>
    </row>
    <row r="1127" spans="1:5" x14ac:dyDescent="0.25">
      <c r="A1127" s="1">
        <v>46098</v>
      </c>
      <c r="B1127" t="s">
        <v>829</v>
      </c>
      <c r="C1127" t="s">
        <v>830</v>
      </c>
      <c r="D1127">
        <v>5</v>
      </c>
      <c r="E1127" t="s">
        <v>28</v>
      </c>
    </row>
    <row r="1128" spans="1:5" x14ac:dyDescent="0.25">
      <c r="A1128" s="1">
        <v>46098</v>
      </c>
      <c r="B1128" t="s">
        <v>831</v>
      </c>
      <c r="C1128" t="s">
        <v>832</v>
      </c>
      <c r="D1128">
        <v>12</v>
      </c>
      <c r="E1128" t="s">
        <v>28</v>
      </c>
    </row>
    <row r="1129" spans="1:5" x14ac:dyDescent="0.25">
      <c r="A1129" s="1">
        <v>46098</v>
      </c>
      <c r="B1129" t="s">
        <v>833</v>
      </c>
      <c r="C1129" t="s">
        <v>834</v>
      </c>
      <c r="D1129">
        <v>5</v>
      </c>
      <c r="E1129" t="s">
        <v>28</v>
      </c>
    </row>
    <row r="1130" spans="1:5" x14ac:dyDescent="0.25">
      <c r="A1130" s="1">
        <v>46098</v>
      </c>
      <c r="B1130" t="s">
        <v>829</v>
      </c>
      <c r="C1130" t="s">
        <v>830</v>
      </c>
      <c r="D1130">
        <v>5</v>
      </c>
      <c r="E1130" t="s">
        <v>126</v>
      </c>
    </row>
    <row r="1131" spans="1:5" x14ac:dyDescent="0.25">
      <c r="A1131" s="1">
        <v>46098</v>
      </c>
      <c r="B1131" t="s">
        <v>831</v>
      </c>
      <c r="C1131" t="s">
        <v>832</v>
      </c>
      <c r="D1131">
        <v>7</v>
      </c>
      <c r="E1131" t="s">
        <v>126</v>
      </c>
    </row>
    <row r="1132" spans="1:5" x14ac:dyDescent="0.25">
      <c r="A1132" s="1">
        <v>46098</v>
      </c>
      <c r="B1132" t="s">
        <v>833</v>
      </c>
      <c r="C1132" t="s">
        <v>834</v>
      </c>
      <c r="D1132">
        <v>4</v>
      </c>
      <c r="E1132" t="s">
        <v>126</v>
      </c>
    </row>
    <row r="1133" spans="1:5" x14ac:dyDescent="0.25">
      <c r="A1133" s="1">
        <v>46098</v>
      </c>
      <c r="B1133" t="s">
        <v>829</v>
      </c>
      <c r="C1133" t="s">
        <v>830</v>
      </c>
      <c r="D1133">
        <v>8</v>
      </c>
      <c r="E1133" t="s">
        <v>48</v>
      </c>
    </row>
    <row r="1134" spans="1:5" x14ac:dyDescent="0.25">
      <c r="A1134" s="1">
        <v>46098</v>
      </c>
      <c r="B1134" t="s">
        <v>831</v>
      </c>
      <c r="C1134" t="s">
        <v>832</v>
      </c>
      <c r="D1134">
        <v>4</v>
      </c>
      <c r="E1134" t="s">
        <v>48</v>
      </c>
    </row>
    <row r="1135" spans="1:5" x14ac:dyDescent="0.25">
      <c r="A1135" s="1">
        <v>46098</v>
      </c>
      <c r="B1135" t="s">
        <v>833</v>
      </c>
      <c r="C1135" t="s">
        <v>834</v>
      </c>
      <c r="D1135">
        <v>4</v>
      </c>
      <c r="E1135" t="s">
        <v>48</v>
      </c>
    </row>
    <row r="1136" spans="1:5" x14ac:dyDescent="0.25">
      <c r="A1136" s="1">
        <v>46098</v>
      </c>
      <c r="B1136" t="s">
        <v>829</v>
      </c>
      <c r="C1136" t="s">
        <v>830</v>
      </c>
      <c r="D1136">
        <v>5</v>
      </c>
      <c r="E1136" t="s">
        <v>21</v>
      </c>
    </row>
    <row r="1137" spans="1:5" x14ac:dyDescent="0.25">
      <c r="A1137" s="1">
        <v>46098</v>
      </c>
      <c r="B1137" t="s">
        <v>831</v>
      </c>
      <c r="C1137" t="s">
        <v>832</v>
      </c>
      <c r="D1137">
        <v>7</v>
      </c>
      <c r="E1137" t="s">
        <v>21</v>
      </c>
    </row>
    <row r="1138" spans="1:5" x14ac:dyDescent="0.25">
      <c r="A1138" s="1">
        <v>46098</v>
      </c>
      <c r="B1138" t="s">
        <v>833</v>
      </c>
      <c r="C1138" t="s">
        <v>834</v>
      </c>
      <c r="D1138">
        <v>2</v>
      </c>
      <c r="E1138" t="s">
        <v>21</v>
      </c>
    </row>
    <row r="1139" spans="1:5" x14ac:dyDescent="0.25">
      <c r="A1139" s="1">
        <v>46098</v>
      </c>
      <c r="B1139" t="s">
        <v>829</v>
      </c>
      <c r="C1139" t="s">
        <v>830</v>
      </c>
      <c r="D1139">
        <v>7</v>
      </c>
      <c r="E1139" t="s">
        <v>58</v>
      </c>
    </row>
    <row r="1140" spans="1:5" x14ac:dyDescent="0.25">
      <c r="A1140" s="1">
        <v>46098</v>
      </c>
      <c r="B1140" t="s">
        <v>831</v>
      </c>
      <c r="C1140" t="s">
        <v>832</v>
      </c>
      <c r="D1140">
        <v>7</v>
      </c>
      <c r="E1140" t="s">
        <v>58</v>
      </c>
    </row>
    <row r="1141" spans="1:5" x14ac:dyDescent="0.25">
      <c r="A1141" s="1">
        <v>46098</v>
      </c>
      <c r="B1141" t="s">
        <v>833</v>
      </c>
      <c r="C1141" t="s">
        <v>834</v>
      </c>
      <c r="D1141">
        <v>5</v>
      </c>
      <c r="E1141" t="s">
        <v>58</v>
      </c>
    </row>
    <row r="1142" spans="1:5" x14ac:dyDescent="0.25">
      <c r="A1142" s="1">
        <v>46099</v>
      </c>
      <c r="B1142" t="s">
        <v>829</v>
      </c>
      <c r="C1142" t="s">
        <v>830</v>
      </c>
      <c r="D1142">
        <v>8</v>
      </c>
      <c r="E1142" t="s">
        <v>28</v>
      </c>
    </row>
    <row r="1143" spans="1:5" x14ac:dyDescent="0.25">
      <c r="A1143" s="1">
        <v>46099</v>
      </c>
      <c r="B1143" t="s">
        <v>831</v>
      </c>
      <c r="C1143" t="s">
        <v>832</v>
      </c>
      <c r="D1143">
        <v>10</v>
      </c>
      <c r="E1143" t="s">
        <v>28</v>
      </c>
    </row>
    <row r="1144" spans="1:5" x14ac:dyDescent="0.25">
      <c r="A1144" s="1">
        <v>46099</v>
      </c>
      <c r="B1144" t="s">
        <v>833</v>
      </c>
      <c r="C1144" t="s">
        <v>834</v>
      </c>
      <c r="D1144">
        <v>4</v>
      </c>
      <c r="E1144" t="s">
        <v>28</v>
      </c>
    </row>
    <row r="1145" spans="1:5" x14ac:dyDescent="0.25">
      <c r="A1145" s="1">
        <v>46099</v>
      </c>
      <c r="B1145" t="s">
        <v>829</v>
      </c>
      <c r="C1145" t="s">
        <v>830</v>
      </c>
      <c r="D1145">
        <v>5</v>
      </c>
      <c r="E1145" t="s">
        <v>126</v>
      </c>
    </row>
    <row r="1146" spans="1:5" x14ac:dyDescent="0.25">
      <c r="A1146" s="1">
        <v>46099</v>
      </c>
      <c r="B1146" t="s">
        <v>831</v>
      </c>
      <c r="C1146" t="s">
        <v>832</v>
      </c>
      <c r="D1146">
        <v>4</v>
      </c>
      <c r="E1146" t="s">
        <v>126</v>
      </c>
    </row>
    <row r="1147" spans="1:5" x14ac:dyDescent="0.25">
      <c r="A1147" s="1">
        <v>46099</v>
      </c>
      <c r="B1147" t="s">
        <v>833</v>
      </c>
      <c r="C1147" t="s">
        <v>834</v>
      </c>
      <c r="D1147">
        <v>2</v>
      </c>
      <c r="E1147" t="s">
        <v>126</v>
      </c>
    </row>
    <row r="1148" spans="1:5" x14ac:dyDescent="0.25">
      <c r="A1148" s="1">
        <v>46099</v>
      </c>
      <c r="B1148" t="s">
        <v>829</v>
      </c>
      <c r="C1148" t="s">
        <v>830</v>
      </c>
      <c r="D1148">
        <v>4</v>
      </c>
      <c r="E1148" t="s">
        <v>48</v>
      </c>
    </row>
    <row r="1149" spans="1:5" x14ac:dyDescent="0.25">
      <c r="A1149" s="1">
        <v>46099</v>
      </c>
      <c r="B1149" t="s">
        <v>831</v>
      </c>
      <c r="C1149" t="s">
        <v>832</v>
      </c>
      <c r="D1149">
        <v>7</v>
      </c>
      <c r="E1149" t="s">
        <v>48</v>
      </c>
    </row>
    <row r="1150" spans="1:5" x14ac:dyDescent="0.25">
      <c r="A1150" s="1">
        <v>46099</v>
      </c>
      <c r="B1150" t="s">
        <v>833</v>
      </c>
      <c r="C1150" t="s">
        <v>834</v>
      </c>
      <c r="D1150">
        <v>1</v>
      </c>
      <c r="E1150" t="s">
        <v>48</v>
      </c>
    </row>
    <row r="1151" spans="1:5" x14ac:dyDescent="0.25">
      <c r="A1151" s="1">
        <v>46099</v>
      </c>
      <c r="B1151" t="s">
        <v>829</v>
      </c>
      <c r="C1151" t="s">
        <v>830</v>
      </c>
      <c r="D1151">
        <v>6</v>
      </c>
      <c r="E1151" t="s">
        <v>21</v>
      </c>
    </row>
    <row r="1152" spans="1:5" x14ac:dyDescent="0.25">
      <c r="A1152" s="1">
        <v>46099</v>
      </c>
      <c r="B1152" t="s">
        <v>831</v>
      </c>
      <c r="C1152" t="s">
        <v>832</v>
      </c>
      <c r="D1152">
        <v>3</v>
      </c>
      <c r="E1152" t="s">
        <v>21</v>
      </c>
    </row>
    <row r="1153" spans="1:5" x14ac:dyDescent="0.25">
      <c r="A1153" s="1">
        <v>46099</v>
      </c>
      <c r="B1153" t="s">
        <v>833</v>
      </c>
      <c r="C1153" t="s">
        <v>834</v>
      </c>
      <c r="D1153">
        <v>4</v>
      </c>
      <c r="E1153" t="s">
        <v>21</v>
      </c>
    </row>
    <row r="1154" spans="1:5" x14ac:dyDescent="0.25">
      <c r="A1154" s="1">
        <v>46099</v>
      </c>
      <c r="B1154" t="s">
        <v>829</v>
      </c>
      <c r="C1154" t="s">
        <v>830</v>
      </c>
      <c r="D1154">
        <v>11</v>
      </c>
      <c r="E1154" t="s">
        <v>58</v>
      </c>
    </row>
    <row r="1155" spans="1:5" x14ac:dyDescent="0.25">
      <c r="A1155" s="1">
        <v>46099</v>
      </c>
      <c r="B1155" t="s">
        <v>831</v>
      </c>
      <c r="C1155" t="s">
        <v>832</v>
      </c>
      <c r="D1155">
        <v>7</v>
      </c>
      <c r="E1155" t="s">
        <v>58</v>
      </c>
    </row>
    <row r="1156" spans="1:5" x14ac:dyDescent="0.25">
      <c r="A1156" s="1">
        <v>46099</v>
      </c>
      <c r="B1156" t="s">
        <v>833</v>
      </c>
      <c r="C1156" t="s">
        <v>834</v>
      </c>
      <c r="D1156">
        <v>5</v>
      </c>
      <c r="E1156" t="s">
        <v>58</v>
      </c>
    </row>
    <row r="1157" spans="1:5" x14ac:dyDescent="0.25">
      <c r="A1157" s="1">
        <v>46100</v>
      </c>
      <c r="B1157" t="s">
        <v>829</v>
      </c>
      <c r="C1157" t="s">
        <v>830</v>
      </c>
      <c r="D1157">
        <v>8</v>
      </c>
      <c r="E1157" t="s">
        <v>28</v>
      </c>
    </row>
    <row r="1158" spans="1:5" x14ac:dyDescent="0.25">
      <c r="A1158" s="1">
        <v>46100</v>
      </c>
      <c r="B1158" t="s">
        <v>831</v>
      </c>
      <c r="C1158" t="s">
        <v>832</v>
      </c>
      <c r="D1158">
        <v>10</v>
      </c>
      <c r="E1158" t="s">
        <v>28</v>
      </c>
    </row>
    <row r="1159" spans="1:5" x14ac:dyDescent="0.25">
      <c r="A1159" s="1">
        <v>46100</v>
      </c>
      <c r="B1159" t="s">
        <v>833</v>
      </c>
      <c r="C1159" t="s">
        <v>834</v>
      </c>
      <c r="D1159">
        <v>8</v>
      </c>
      <c r="E1159" t="s">
        <v>28</v>
      </c>
    </row>
    <row r="1160" spans="1:5" x14ac:dyDescent="0.25">
      <c r="A1160" s="1">
        <v>46100</v>
      </c>
      <c r="B1160" t="s">
        <v>829</v>
      </c>
      <c r="C1160" t="s">
        <v>830</v>
      </c>
      <c r="D1160">
        <v>5</v>
      </c>
      <c r="E1160" t="s">
        <v>126</v>
      </c>
    </row>
    <row r="1161" spans="1:5" x14ac:dyDescent="0.25">
      <c r="A1161" s="1">
        <v>46100</v>
      </c>
      <c r="B1161" t="s">
        <v>831</v>
      </c>
      <c r="C1161" t="s">
        <v>832</v>
      </c>
      <c r="D1161">
        <v>6</v>
      </c>
      <c r="E1161" t="s">
        <v>126</v>
      </c>
    </row>
    <row r="1162" spans="1:5" x14ac:dyDescent="0.25">
      <c r="A1162" s="1">
        <v>46100</v>
      </c>
      <c r="B1162" t="s">
        <v>833</v>
      </c>
      <c r="C1162" t="s">
        <v>834</v>
      </c>
      <c r="D1162">
        <v>4</v>
      </c>
      <c r="E1162" t="s">
        <v>126</v>
      </c>
    </row>
    <row r="1163" spans="1:5" x14ac:dyDescent="0.25">
      <c r="A1163" s="1">
        <v>46100</v>
      </c>
      <c r="B1163" t="s">
        <v>829</v>
      </c>
      <c r="C1163" t="s">
        <v>830</v>
      </c>
      <c r="D1163">
        <v>6</v>
      </c>
      <c r="E1163" t="s">
        <v>48</v>
      </c>
    </row>
    <row r="1164" spans="1:5" x14ac:dyDescent="0.25">
      <c r="A1164" s="1">
        <v>46100</v>
      </c>
      <c r="B1164" t="s">
        <v>831</v>
      </c>
      <c r="C1164" t="s">
        <v>832</v>
      </c>
      <c r="D1164">
        <v>6</v>
      </c>
      <c r="E1164" t="s">
        <v>48</v>
      </c>
    </row>
    <row r="1165" spans="1:5" x14ac:dyDescent="0.25">
      <c r="A1165" s="1">
        <v>46100</v>
      </c>
      <c r="B1165" t="s">
        <v>833</v>
      </c>
      <c r="C1165" t="s">
        <v>834</v>
      </c>
      <c r="D1165">
        <v>5</v>
      </c>
      <c r="E1165" t="s">
        <v>48</v>
      </c>
    </row>
    <row r="1166" spans="1:5" x14ac:dyDescent="0.25">
      <c r="A1166" s="1">
        <v>46100</v>
      </c>
      <c r="B1166" t="s">
        <v>829</v>
      </c>
      <c r="C1166" t="s">
        <v>830</v>
      </c>
      <c r="D1166">
        <v>7</v>
      </c>
      <c r="E1166" t="s">
        <v>21</v>
      </c>
    </row>
    <row r="1167" spans="1:5" x14ac:dyDescent="0.25">
      <c r="A1167" s="1">
        <v>46100</v>
      </c>
      <c r="B1167" t="s">
        <v>831</v>
      </c>
      <c r="C1167" t="s">
        <v>832</v>
      </c>
      <c r="D1167">
        <v>4</v>
      </c>
      <c r="E1167" t="s">
        <v>21</v>
      </c>
    </row>
    <row r="1168" spans="1:5" x14ac:dyDescent="0.25">
      <c r="A1168" s="1">
        <v>46100</v>
      </c>
      <c r="B1168" t="s">
        <v>833</v>
      </c>
      <c r="C1168" t="s">
        <v>834</v>
      </c>
      <c r="D1168">
        <v>1</v>
      </c>
      <c r="E1168" t="s">
        <v>21</v>
      </c>
    </row>
    <row r="1169" spans="1:5" x14ac:dyDescent="0.25">
      <c r="A1169" s="1">
        <v>46100</v>
      </c>
      <c r="B1169" t="s">
        <v>829</v>
      </c>
      <c r="C1169" t="s">
        <v>830</v>
      </c>
      <c r="D1169">
        <v>7</v>
      </c>
      <c r="E1169" t="s">
        <v>58</v>
      </c>
    </row>
    <row r="1170" spans="1:5" x14ac:dyDescent="0.25">
      <c r="A1170" s="1">
        <v>46100</v>
      </c>
      <c r="B1170" t="s">
        <v>831</v>
      </c>
      <c r="C1170" t="s">
        <v>832</v>
      </c>
      <c r="D1170">
        <v>8</v>
      </c>
      <c r="E1170" t="s">
        <v>58</v>
      </c>
    </row>
    <row r="1171" spans="1:5" x14ac:dyDescent="0.25">
      <c r="A1171" s="1">
        <v>46100</v>
      </c>
      <c r="B1171" t="s">
        <v>833</v>
      </c>
      <c r="C1171" t="s">
        <v>834</v>
      </c>
      <c r="D1171">
        <v>4</v>
      </c>
      <c r="E1171" t="s">
        <v>58</v>
      </c>
    </row>
    <row r="1172" spans="1:5" x14ac:dyDescent="0.25">
      <c r="A1172" s="1">
        <v>46101</v>
      </c>
      <c r="B1172" t="s">
        <v>829</v>
      </c>
      <c r="C1172" t="s">
        <v>830</v>
      </c>
      <c r="D1172">
        <v>6</v>
      </c>
      <c r="E1172" t="s">
        <v>28</v>
      </c>
    </row>
    <row r="1173" spans="1:5" x14ac:dyDescent="0.25">
      <c r="A1173" s="1">
        <v>46101</v>
      </c>
      <c r="B1173" t="s">
        <v>831</v>
      </c>
      <c r="C1173" t="s">
        <v>832</v>
      </c>
      <c r="D1173">
        <v>11</v>
      </c>
      <c r="E1173" t="s">
        <v>28</v>
      </c>
    </row>
    <row r="1174" spans="1:5" x14ac:dyDescent="0.25">
      <c r="A1174" s="1">
        <v>46101</v>
      </c>
      <c r="B1174" t="s">
        <v>833</v>
      </c>
      <c r="C1174" t="s">
        <v>834</v>
      </c>
      <c r="D1174">
        <v>8</v>
      </c>
      <c r="E1174" t="s">
        <v>28</v>
      </c>
    </row>
    <row r="1175" spans="1:5" x14ac:dyDescent="0.25">
      <c r="A1175" s="1">
        <v>46101</v>
      </c>
      <c r="B1175" t="s">
        <v>829</v>
      </c>
      <c r="C1175" t="s">
        <v>830</v>
      </c>
      <c r="D1175">
        <v>7</v>
      </c>
      <c r="E1175" t="s">
        <v>126</v>
      </c>
    </row>
    <row r="1176" spans="1:5" x14ac:dyDescent="0.25">
      <c r="A1176" s="1">
        <v>46101</v>
      </c>
      <c r="B1176" t="s">
        <v>831</v>
      </c>
      <c r="C1176" t="s">
        <v>832</v>
      </c>
      <c r="D1176">
        <v>4</v>
      </c>
      <c r="E1176" t="s">
        <v>126</v>
      </c>
    </row>
    <row r="1177" spans="1:5" x14ac:dyDescent="0.25">
      <c r="A1177" s="1">
        <v>46101</v>
      </c>
      <c r="B1177" t="s">
        <v>833</v>
      </c>
      <c r="C1177" t="s">
        <v>834</v>
      </c>
      <c r="D1177">
        <v>4</v>
      </c>
      <c r="E1177" t="s">
        <v>126</v>
      </c>
    </row>
    <row r="1178" spans="1:5" x14ac:dyDescent="0.25">
      <c r="A1178" s="1">
        <v>46101</v>
      </c>
      <c r="B1178" t="s">
        <v>829</v>
      </c>
      <c r="C1178" t="s">
        <v>830</v>
      </c>
      <c r="D1178">
        <v>7</v>
      </c>
      <c r="E1178" t="s">
        <v>48</v>
      </c>
    </row>
    <row r="1179" spans="1:5" x14ac:dyDescent="0.25">
      <c r="A1179" s="1">
        <v>46101</v>
      </c>
      <c r="B1179" t="s">
        <v>831</v>
      </c>
      <c r="C1179" t="s">
        <v>832</v>
      </c>
      <c r="D1179">
        <v>3</v>
      </c>
      <c r="E1179" t="s">
        <v>48</v>
      </c>
    </row>
    <row r="1180" spans="1:5" x14ac:dyDescent="0.25">
      <c r="A1180" s="1">
        <v>46101</v>
      </c>
      <c r="B1180" t="s">
        <v>833</v>
      </c>
      <c r="C1180" t="s">
        <v>834</v>
      </c>
      <c r="D1180">
        <v>1</v>
      </c>
      <c r="E1180" t="s">
        <v>48</v>
      </c>
    </row>
    <row r="1181" spans="1:5" x14ac:dyDescent="0.25">
      <c r="A1181" s="1">
        <v>46101</v>
      </c>
      <c r="B1181" t="s">
        <v>829</v>
      </c>
      <c r="C1181" t="s">
        <v>830</v>
      </c>
      <c r="D1181">
        <v>5</v>
      </c>
      <c r="E1181" t="s">
        <v>21</v>
      </c>
    </row>
    <row r="1182" spans="1:5" x14ac:dyDescent="0.25">
      <c r="A1182" s="1">
        <v>46101</v>
      </c>
      <c r="B1182" t="s">
        <v>831</v>
      </c>
      <c r="C1182" t="s">
        <v>832</v>
      </c>
      <c r="D1182">
        <v>5</v>
      </c>
      <c r="E1182" t="s">
        <v>21</v>
      </c>
    </row>
    <row r="1183" spans="1:5" x14ac:dyDescent="0.25">
      <c r="A1183" s="1">
        <v>46101</v>
      </c>
      <c r="B1183" t="s">
        <v>833</v>
      </c>
      <c r="C1183" t="s">
        <v>834</v>
      </c>
      <c r="D1183">
        <v>4</v>
      </c>
      <c r="E1183" t="s">
        <v>21</v>
      </c>
    </row>
    <row r="1184" spans="1:5" x14ac:dyDescent="0.25">
      <c r="A1184" s="1">
        <v>46101</v>
      </c>
      <c r="B1184" t="s">
        <v>829</v>
      </c>
      <c r="C1184" t="s">
        <v>830</v>
      </c>
      <c r="D1184">
        <v>9</v>
      </c>
      <c r="E1184" t="s">
        <v>58</v>
      </c>
    </row>
    <row r="1185" spans="1:5" x14ac:dyDescent="0.25">
      <c r="A1185" s="1">
        <v>46101</v>
      </c>
      <c r="B1185" t="s">
        <v>831</v>
      </c>
      <c r="C1185" t="s">
        <v>832</v>
      </c>
      <c r="D1185">
        <v>4</v>
      </c>
      <c r="E1185" t="s">
        <v>58</v>
      </c>
    </row>
    <row r="1186" spans="1:5" x14ac:dyDescent="0.25">
      <c r="A1186" s="1">
        <v>46101</v>
      </c>
      <c r="B1186" t="s">
        <v>833</v>
      </c>
      <c r="C1186" t="s">
        <v>834</v>
      </c>
      <c r="D1186">
        <v>4</v>
      </c>
      <c r="E1186" t="s">
        <v>58</v>
      </c>
    </row>
    <row r="1187" spans="1:5" x14ac:dyDescent="0.25">
      <c r="A1187" s="1">
        <v>46102</v>
      </c>
      <c r="B1187" t="s">
        <v>829</v>
      </c>
      <c r="C1187" t="s">
        <v>830</v>
      </c>
      <c r="D1187">
        <v>4</v>
      </c>
      <c r="E1187" t="s">
        <v>28</v>
      </c>
    </row>
    <row r="1188" spans="1:5" x14ac:dyDescent="0.25">
      <c r="A1188" s="1">
        <v>46102</v>
      </c>
      <c r="B1188" t="s">
        <v>831</v>
      </c>
      <c r="C1188" t="s">
        <v>832</v>
      </c>
      <c r="D1188">
        <v>8</v>
      </c>
      <c r="E1188" t="s">
        <v>28</v>
      </c>
    </row>
    <row r="1189" spans="1:5" x14ac:dyDescent="0.25">
      <c r="A1189" s="1">
        <v>46102</v>
      </c>
      <c r="B1189" t="s">
        <v>833</v>
      </c>
      <c r="C1189" t="s">
        <v>834</v>
      </c>
      <c r="D1189">
        <v>3</v>
      </c>
      <c r="E1189" t="s">
        <v>28</v>
      </c>
    </row>
    <row r="1190" spans="1:5" x14ac:dyDescent="0.25">
      <c r="A1190" s="1">
        <v>46102</v>
      </c>
      <c r="B1190" t="s">
        <v>829</v>
      </c>
      <c r="C1190" t="s">
        <v>830</v>
      </c>
      <c r="D1190">
        <v>5</v>
      </c>
      <c r="E1190" t="s">
        <v>126</v>
      </c>
    </row>
    <row r="1191" spans="1:5" x14ac:dyDescent="0.25">
      <c r="A1191" s="1">
        <v>46102</v>
      </c>
      <c r="B1191" t="s">
        <v>831</v>
      </c>
      <c r="C1191" t="s">
        <v>832</v>
      </c>
      <c r="D1191">
        <v>6</v>
      </c>
      <c r="E1191" t="s">
        <v>126</v>
      </c>
    </row>
    <row r="1192" spans="1:5" x14ac:dyDescent="0.25">
      <c r="A1192" s="1">
        <v>46102</v>
      </c>
      <c r="B1192" t="s">
        <v>833</v>
      </c>
      <c r="C1192" t="s">
        <v>834</v>
      </c>
      <c r="D1192">
        <v>1</v>
      </c>
      <c r="E1192" t="s">
        <v>126</v>
      </c>
    </row>
    <row r="1193" spans="1:5" x14ac:dyDescent="0.25">
      <c r="A1193" s="1">
        <v>46102</v>
      </c>
      <c r="B1193" t="s">
        <v>829</v>
      </c>
      <c r="C1193" t="s">
        <v>830</v>
      </c>
      <c r="D1193">
        <v>3</v>
      </c>
      <c r="E1193" t="s">
        <v>48</v>
      </c>
    </row>
    <row r="1194" spans="1:5" x14ac:dyDescent="0.25">
      <c r="A1194" s="1">
        <v>46102</v>
      </c>
      <c r="B1194" t="s">
        <v>831</v>
      </c>
      <c r="C1194" t="s">
        <v>832</v>
      </c>
      <c r="D1194">
        <v>6</v>
      </c>
      <c r="E1194" t="s">
        <v>48</v>
      </c>
    </row>
    <row r="1195" spans="1:5" x14ac:dyDescent="0.25">
      <c r="A1195" s="1">
        <v>46102</v>
      </c>
      <c r="B1195" t="s">
        <v>833</v>
      </c>
      <c r="C1195" t="s">
        <v>834</v>
      </c>
      <c r="D1195">
        <v>3</v>
      </c>
      <c r="E1195" t="s">
        <v>48</v>
      </c>
    </row>
    <row r="1196" spans="1:5" x14ac:dyDescent="0.25">
      <c r="A1196" s="1">
        <v>46102</v>
      </c>
      <c r="B1196" t="s">
        <v>829</v>
      </c>
      <c r="C1196" t="s">
        <v>830</v>
      </c>
      <c r="D1196">
        <v>4</v>
      </c>
      <c r="E1196" t="s">
        <v>21</v>
      </c>
    </row>
    <row r="1197" spans="1:5" x14ac:dyDescent="0.25">
      <c r="A1197" s="1">
        <v>46102</v>
      </c>
      <c r="B1197" t="s">
        <v>831</v>
      </c>
      <c r="C1197" t="s">
        <v>832</v>
      </c>
      <c r="D1197">
        <v>2</v>
      </c>
      <c r="E1197" t="s">
        <v>21</v>
      </c>
    </row>
    <row r="1198" spans="1:5" x14ac:dyDescent="0.25">
      <c r="A1198" s="1">
        <v>46102</v>
      </c>
      <c r="B1198" t="s">
        <v>833</v>
      </c>
      <c r="C1198" t="s">
        <v>834</v>
      </c>
      <c r="D1198">
        <v>1</v>
      </c>
      <c r="E1198" t="s">
        <v>21</v>
      </c>
    </row>
    <row r="1199" spans="1:5" x14ac:dyDescent="0.25">
      <c r="A1199" s="1">
        <v>46102</v>
      </c>
      <c r="B1199" t="s">
        <v>829</v>
      </c>
      <c r="C1199" t="s">
        <v>830</v>
      </c>
      <c r="D1199">
        <v>10</v>
      </c>
      <c r="E1199" t="s">
        <v>58</v>
      </c>
    </row>
    <row r="1200" spans="1:5" x14ac:dyDescent="0.25">
      <c r="A1200" s="1">
        <v>46102</v>
      </c>
      <c r="B1200" t="s">
        <v>831</v>
      </c>
      <c r="C1200" t="s">
        <v>832</v>
      </c>
      <c r="D1200">
        <v>3</v>
      </c>
      <c r="E1200" t="s">
        <v>58</v>
      </c>
    </row>
    <row r="1201" spans="1:5" x14ac:dyDescent="0.25">
      <c r="A1201" s="1">
        <v>46102</v>
      </c>
      <c r="B1201" t="s">
        <v>833</v>
      </c>
      <c r="C1201" t="s">
        <v>834</v>
      </c>
      <c r="D1201">
        <v>1</v>
      </c>
      <c r="E1201" t="s">
        <v>58</v>
      </c>
    </row>
    <row r="1202" spans="1:5" x14ac:dyDescent="0.25">
      <c r="A1202" s="1">
        <v>46103</v>
      </c>
      <c r="B1202" t="s">
        <v>829</v>
      </c>
      <c r="C1202" t="s">
        <v>830</v>
      </c>
      <c r="D1202">
        <v>7</v>
      </c>
      <c r="E1202" t="s">
        <v>28</v>
      </c>
    </row>
    <row r="1203" spans="1:5" x14ac:dyDescent="0.25">
      <c r="A1203" s="1">
        <v>46103</v>
      </c>
      <c r="B1203" t="s">
        <v>831</v>
      </c>
      <c r="C1203" t="s">
        <v>832</v>
      </c>
      <c r="D1203">
        <v>9</v>
      </c>
      <c r="E1203" t="s">
        <v>28</v>
      </c>
    </row>
    <row r="1204" spans="1:5" x14ac:dyDescent="0.25">
      <c r="A1204" s="1">
        <v>46103</v>
      </c>
      <c r="B1204" t="s">
        <v>833</v>
      </c>
      <c r="C1204" t="s">
        <v>834</v>
      </c>
      <c r="D1204">
        <v>4</v>
      </c>
      <c r="E1204" t="s">
        <v>28</v>
      </c>
    </row>
    <row r="1205" spans="1:5" x14ac:dyDescent="0.25">
      <c r="A1205" s="1">
        <v>46103</v>
      </c>
      <c r="B1205" t="s">
        <v>829</v>
      </c>
      <c r="C1205" t="s">
        <v>830</v>
      </c>
      <c r="D1205">
        <v>4</v>
      </c>
      <c r="E1205" t="s">
        <v>126</v>
      </c>
    </row>
    <row r="1206" spans="1:5" x14ac:dyDescent="0.25">
      <c r="A1206" s="1">
        <v>46103</v>
      </c>
      <c r="B1206" t="s">
        <v>831</v>
      </c>
      <c r="C1206" t="s">
        <v>832</v>
      </c>
      <c r="D1206">
        <v>2</v>
      </c>
      <c r="E1206" t="s">
        <v>126</v>
      </c>
    </row>
    <row r="1207" spans="1:5" x14ac:dyDescent="0.25">
      <c r="A1207" s="1">
        <v>46103</v>
      </c>
      <c r="B1207" t="s">
        <v>833</v>
      </c>
      <c r="C1207" t="s">
        <v>834</v>
      </c>
      <c r="D1207">
        <v>2</v>
      </c>
      <c r="E1207" t="s">
        <v>126</v>
      </c>
    </row>
    <row r="1208" spans="1:5" x14ac:dyDescent="0.25">
      <c r="A1208" s="1">
        <v>46103</v>
      </c>
      <c r="B1208" t="s">
        <v>829</v>
      </c>
      <c r="C1208" t="s">
        <v>830</v>
      </c>
      <c r="D1208">
        <v>7</v>
      </c>
      <c r="E1208" t="s">
        <v>48</v>
      </c>
    </row>
    <row r="1209" spans="1:5" x14ac:dyDescent="0.25">
      <c r="A1209" s="1">
        <v>46103</v>
      </c>
      <c r="B1209" t="s">
        <v>831</v>
      </c>
      <c r="C1209" t="s">
        <v>832</v>
      </c>
      <c r="D1209">
        <v>4</v>
      </c>
      <c r="E1209" t="s">
        <v>48</v>
      </c>
    </row>
    <row r="1210" spans="1:5" x14ac:dyDescent="0.25">
      <c r="A1210" s="1">
        <v>46103</v>
      </c>
      <c r="B1210" t="s">
        <v>833</v>
      </c>
      <c r="C1210" t="s">
        <v>834</v>
      </c>
      <c r="D1210">
        <v>1</v>
      </c>
      <c r="E1210" t="s">
        <v>48</v>
      </c>
    </row>
    <row r="1211" spans="1:5" x14ac:dyDescent="0.25">
      <c r="A1211" s="1">
        <v>46103</v>
      </c>
      <c r="B1211" t="s">
        <v>829</v>
      </c>
      <c r="C1211" t="s">
        <v>830</v>
      </c>
      <c r="D1211">
        <v>5</v>
      </c>
      <c r="E1211" t="s">
        <v>21</v>
      </c>
    </row>
    <row r="1212" spans="1:5" x14ac:dyDescent="0.25">
      <c r="A1212" s="1">
        <v>46103</v>
      </c>
      <c r="B1212" t="s">
        <v>831</v>
      </c>
      <c r="C1212" t="s">
        <v>832</v>
      </c>
      <c r="D1212">
        <v>6</v>
      </c>
      <c r="E1212" t="s">
        <v>21</v>
      </c>
    </row>
    <row r="1213" spans="1:5" x14ac:dyDescent="0.25">
      <c r="A1213" s="1">
        <v>46103</v>
      </c>
      <c r="B1213" t="s">
        <v>833</v>
      </c>
      <c r="C1213" t="s">
        <v>834</v>
      </c>
      <c r="D1213">
        <v>2</v>
      </c>
      <c r="E1213" t="s">
        <v>21</v>
      </c>
    </row>
    <row r="1214" spans="1:5" x14ac:dyDescent="0.25">
      <c r="A1214" s="1">
        <v>46103</v>
      </c>
      <c r="B1214" t="s">
        <v>829</v>
      </c>
      <c r="C1214" t="s">
        <v>830</v>
      </c>
      <c r="D1214">
        <v>9</v>
      </c>
      <c r="E1214" t="s">
        <v>58</v>
      </c>
    </row>
    <row r="1215" spans="1:5" x14ac:dyDescent="0.25">
      <c r="A1215" s="1">
        <v>46103</v>
      </c>
      <c r="B1215" t="s">
        <v>831</v>
      </c>
      <c r="C1215" t="s">
        <v>832</v>
      </c>
      <c r="D1215">
        <v>4</v>
      </c>
      <c r="E1215" t="s">
        <v>58</v>
      </c>
    </row>
    <row r="1216" spans="1:5" x14ac:dyDescent="0.25">
      <c r="A1216" s="1">
        <v>46103</v>
      </c>
      <c r="B1216" t="s">
        <v>833</v>
      </c>
      <c r="C1216" t="s">
        <v>834</v>
      </c>
      <c r="D1216">
        <v>2</v>
      </c>
      <c r="E1216" t="s">
        <v>58</v>
      </c>
    </row>
    <row r="1217" spans="1:5" x14ac:dyDescent="0.25">
      <c r="A1217" s="1">
        <v>46104</v>
      </c>
      <c r="B1217" t="s">
        <v>829</v>
      </c>
      <c r="C1217" t="s">
        <v>830</v>
      </c>
      <c r="D1217">
        <v>6</v>
      </c>
      <c r="E1217" t="s">
        <v>28</v>
      </c>
    </row>
    <row r="1218" spans="1:5" x14ac:dyDescent="0.25">
      <c r="A1218" s="1">
        <v>46104</v>
      </c>
      <c r="B1218" t="s">
        <v>831</v>
      </c>
      <c r="C1218" t="s">
        <v>832</v>
      </c>
      <c r="D1218">
        <v>12</v>
      </c>
      <c r="E1218" t="s">
        <v>28</v>
      </c>
    </row>
    <row r="1219" spans="1:5" x14ac:dyDescent="0.25">
      <c r="A1219" s="1">
        <v>46104</v>
      </c>
      <c r="B1219" t="s">
        <v>833</v>
      </c>
      <c r="C1219" t="s">
        <v>834</v>
      </c>
      <c r="D1219">
        <v>6</v>
      </c>
      <c r="E1219" t="s">
        <v>28</v>
      </c>
    </row>
    <row r="1220" spans="1:5" x14ac:dyDescent="0.25">
      <c r="A1220" s="1">
        <v>46104</v>
      </c>
      <c r="B1220" t="s">
        <v>829</v>
      </c>
      <c r="C1220" t="s">
        <v>830</v>
      </c>
      <c r="D1220">
        <v>8</v>
      </c>
      <c r="E1220" t="s">
        <v>126</v>
      </c>
    </row>
    <row r="1221" spans="1:5" x14ac:dyDescent="0.25">
      <c r="A1221" s="1">
        <v>46104</v>
      </c>
      <c r="B1221" t="s">
        <v>831</v>
      </c>
      <c r="C1221" t="s">
        <v>832</v>
      </c>
      <c r="D1221">
        <v>7</v>
      </c>
      <c r="E1221" t="s">
        <v>126</v>
      </c>
    </row>
    <row r="1222" spans="1:5" x14ac:dyDescent="0.25">
      <c r="A1222" s="1">
        <v>46104</v>
      </c>
      <c r="B1222" t="s">
        <v>833</v>
      </c>
      <c r="C1222" t="s">
        <v>834</v>
      </c>
      <c r="D1222">
        <v>2</v>
      </c>
      <c r="E1222" t="s">
        <v>126</v>
      </c>
    </row>
    <row r="1223" spans="1:5" x14ac:dyDescent="0.25">
      <c r="A1223" s="1">
        <v>46104</v>
      </c>
      <c r="B1223" t="s">
        <v>829</v>
      </c>
      <c r="C1223" t="s">
        <v>830</v>
      </c>
      <c r="D1223">
        <v>6</v>
      </c>
      <c r="E1223" t="s">
        <v>48</v>
      </c>
    </row>
    <row r="1224" spans="1:5" x14ac:dyDescent="0.25">
      <c r="A1224" s="1">
        <v>46104</v>
      </c>
      <c r="B1224" t="s">
        <v>831</v>
      </c>
      <c r="C1224" t="s">
        <v>832</v>
      </c>
      <c r="D1224">
        <v>5</v>
      </c>
      <c r="E1224" t="s">
        <v>48</v>
      </c>
    </row>
    <row r="1225" spans="1:5" x14ac:dyDescent="0.25">
      <c r="A1225" s="1">
        <v>46104</v>
      </c>
      <c r="B1225" t="s">
        <v>833</v>
      </c>
      <c r="C1225" t="s">
        <v>834</v>
      </c>
      <c r="D1225">
        <v>1</v>
      </c>
      <c r="E1225" t="s">
        <v>48</v>
      </c>
    </row>
    <row r="1226" spans="1:5" x14ac:dyDescent="0.25">
      <c r="A1226" s="1">
        <v>46104</v>
      </c>
      <c r="B1226" t="s">
        <v>829</v>
      </c>
      <c r="C1226" t="s">
        <v>830</v>
      </c>
      <c r="D1226">
        <v>5</v>
      </c>
      <c r="E1226" t="s">
        <v>21</v>
      </c>
    </row>
    <row r="1227" spans="1:5" x14ac:dyDescent="0.25">
      <c r="A1227" s="1">
        <v>46104</v>
      </c>
      <c r="B1227" t="s">
        <v>831</v>
      </c>
      <c r="C1227" t="s">
        <v>832</v>
      </c>
      <c r="D1227">
        <v>4</v>
      </c>
      <c r="E1227" t="s">
        <v>21</v>
      </c>
    </row>
    <row r="1228" spans="1:5" x14ac:dyDescent="0.25">
      <c r="A1228" s="1">
        <v>46104</v>
      </c>
      <c r="B1228" t="s">
        <v>833</v>
      </c>
      <c r="C1228" t="s">
        <v>834</v>
      </c>
      <c r="D1228">
        <v>4</v>
      </c>
      <c r="E1228" t="s">
        <v>21</v>
      </c>
    </row>
    <row r="1229" spans="1:5" x14ac:dyDescent="0.25">
      <c r="A1229" s="1">
        <v>46104</v>
      </c>
      <c r="B1229" t="s">
        <v>829</v>
      </c>
      <c r="C1229" t="s">
        <v>830</v>
      </c>
      <c r="D1229">
        <v>8</v>
      </c>
      <c r="E1229" t="s">
        <v>58</v>
      </c>
    </row>
    <row r="1230" spans="1:5" x14ac:dyDescent="0.25">
      <c r="A1230" s="1">
        <v>46104</v>
      </c>
      <c r="B1230" t="s">
        <v>831</v>
      </c>
      <c r="C1230" t="s">
        <v>832</v>
      </c>
      <c r="D1230">
        <v>6</v>
      </c>
      <c r="E1230" t="s">
        <v>58</v>
      </c>
    </row>
    <row r="1231" spans="1:5" x14ac:dyDescent="0.25">
      <c r="A1231" s="1">
        <v>46104</v>
      </c>
      <c r="B1231" t="s">
        <v>833</v>
      </c>
      <c r="C1231" t="s">
        <v>834</v>
      </c>
      <c r="D1231">
        <v>3</v>
      </c>
      <c r="E1231" t="s">
        <v>58</v>
      </c>
    </row>
    <row r="1232" spans="1:5" x14ac:dyDescent="0.25">
      <c r="A1232" s="1">
        <v>46105</v>
      </c>
      <c r="B1232" t="s">
        <v>829</v>
      </c>
      <c r="C1232" t="s">
        <v>830</v>
      </c>
      <c r="D1232">
        <v>6</v>
      </c>
      <c r="E1232" t="s">
        <v>28</v>
      </c>
    </row>
    <row r="1233" spans="1:5" x14ac:dyDescent="0.25">
      <c r="A1233" s="1">
        <v>46105</v>
      </c>
      <c r="B1233" t="s">
        <v>831</v>
      </c>
      <c r="C1233" t="s">
        <v>832</v>
      </c>
      <c r="D1233">
        <v>10</v>
      </c>
      <c r="E1233" t="s">
        <v>28</v>
      </c>
    </row>
    <row r="1234" spans="1:5" x14ac:dyDescent="0.25">
      <c r="A1234" s="1">
        <v>46105</v>
      </c>
      <c r="B1234" t="s">
        <v>833</v>
      </c>
      <c r="C1234" t="s">
        <v>834</v>
      </c>
      <c r="D1234">
        <v>4</v>
      </c>
      <c r="E1234" t="s">
        <v>28</v>
      </c>
    </row>
    <row r="1235" spans="1:5" x14ac:dyDescent="0.25">
      <c r="A1235" s="1">
        <v>46105</v>
      </c>
      <c r="B1235" t="s">
        <v>829</v>
      </c>
      <c r="C1235" t="s">
        <v>830</v>
      </c>
      <c r="D1235">
        <v>8</v>
      </c>
      <c r="E1235" t="s">
        <v>126</v>
      </c>
    </row>
    <row r="1236" spans="1:5" x14ac:dyDescent="0.25">
      <c r="A1236" s="1">
        <v>46105</v>
      </c>
      <c r="B1236" t="s">
        <v>831</v>
      </c>
      <c r="C1236" t="s">
        <v>832</v>
      </c>
      <c r="D1236">
        <v>3</v>
      </c>
      <c r="E1236" t="s">
        <v>126</v>
      </c>
    </row>
    <row r="1237" spans="1:5" x14ac:dyDescent="0.25">
      <c r="A1237" s="1">
        <v>46105</v>
      </c>
      <c r="B1237" t="s">
        <v>833</v>
      </c>
      <c r="C1237" t="s">
        <v>834</v>
      </c>
      <c r="D1237">
        <v>3</v>
      </c>
      <c r="E1237" t="s">
        <v>126</v>
      </c>
    </row>
    <row r="1238" spans="1:5" x14ac:dyDescent="0.25">
      <c r="A1238" s="1">
        <v>46105</v>
      </c>
      <c r="B1238" t="s">
        <v>829</v>
      </c>
      <c r="C1238" t="s">
        <v>830</v>
      </c>
      <c r="D1238">
        <v>7</v>
      </c>
      <c r="E1238" t="s">
        <v>48</v>
      </c>
    </row>
    <row r="1239" spans="1:5" x14ac:dyDescent="0.25">
      <c r="A1239" s="1">
        <v>46105</v>
      </c>
      <c r="B1239" t="s">
        <v>831</v>
      </c>
      <c r="C1239" t="s">
        <v>832</v>
      </c>
      <c r="D1239">
        <v>7</v>
      </c>
      <c r="E1239" t="s">
        <v>48</v>
      </c>
    </row>
    <row r="1240" spans="1:5" x14ac:dyDescent="0.25">
      <c r="A1240" s="1">
        <v>46105</v>
      </c>
      <c r="B1240" t="s">
        <v>833</v>
      </c>
      <c r="C1240" t="s">
        <v>834</v>
      </c>
      <c r="D1240">
        <v>5</v>
      </c>
      <c r="E1240" t="s">
        <v>48</v>
      </c>
    </row>
    <row r="1241" spans="1:5" x14ac:dyDescent="0.25">
      <c r="A1241" s="1">
        <v>46105</v>
      </c>
      <c r="B1241" t="s">
        <v>829</v>
      </c>
      <c r="C1241" t="s">
        <v>830</v>
      </c>
      <c r="D1241">
        <v>8</v>
      </c>
      <c r="E1241" t="s">
        <v>21</v>
      </c>
    </row>
    <row r="1242" spans="1:5" x14ac:dyDescent="0.25">
      <c r="A1242" s="1">
        <v>46105</v>
      </c>
      <c r="B1242" t="s">
        <v>831</v>
      </c>
      <c r="C1242" t="s">
        <v>832</v>
      </c>
      <c r="D1242">
        <v>3</v>
      </c>
      <c r="E1242" t="s">
        <v>21</v>
      </c>
    </row>
    <row r="1243" spans="1:5" x14ac:dyDescent="0.25">
      <c r="A1243" s="1">
        <v>46105</v>
      </c>
      <c r="B1243" t="s">
        <v>833</v>
      </c>
      <c r="C1243" t="s">
        <v>834</v>
      </c>
      <c r="D1243">
        <v>3</v>
      </c>
      <c r="E1243" t="s">
        <v>21</v>
      </c>
    </row>
    <row r="1244" spans="1:5" x14ac:dyDescent="0.25">
      <c r="A1244" s="1">
        <v>46105</v>
      </c>
      <c r="B1244" t="s">
        <v>829</v>
      </c>
      <c r="C1244" t="s">
        <v>830</v>
      </c>
      <c r="D1244">
        <v>11</v>
      </c>
      <c r="E1244" t="s">
        <v>58</v>
      </c>
    </row>
    <row r="1245" spans="1:5" x14ac:dyDescent="0.25">
      <c r="A1245" s="1">
        <v>46105</v>
      </c>
      <c r="B1245" t="s">
        <v>831</v>
      </c>
      <c r="C1245" t="s">
        <v>832</v>
      </c>
      <c r="D1245">
        <v>7</v>
      </c>
      <c r="E1245" t="s">
        <v>58</v>
      </c>
    </row>
    <row r="1246" spans="1:5" x14ac:dyDescent="0.25">
      <c r="A1246" s="1">
        <v>46105</v>
      </c>
      <c r="B1246" t="s">
        <v>833</v>
      </c>
      <c r="C1246" t="s">
        <v>834</v>
      </c>
      <c r="D1246">
        <v>3</v>
      </c>
      <c r="E1246" t="s">
        <v>58</v>
      </c>
    </row>
    <row r="1247" spans="1:5" x14ac:dyDescent="0.25">
      <c r="A1247" s="1">
        <v>46106</v>
      </c>
      <c r="B1247" t="s">
        <v>829</v>
      </c>
      <c r="C1247" t="s">
        <v>830</v>
      </c>
      <c r="D1247">
        <v>8</v>
      </c>
      <c r="E1247" t="s">
        <v>28</v>
      </c>
    </row>
    <row r="1248" spans="1:5" x14ac:dyDescent="0.25">
      <c r="A1248" s="1">
        <v>46106</v>
      </c>
      <c r="B1248" t="s">
        <v>831</v>
      </c>
      <c r="C1248" t="s">
        <v>832</v>
      </c>
      <c r="D1248">
        <v>10</v>
      </c>
      <c r="E1248" t="s">
        <v>28</v>
      </c>
    </row>
    <row r="1249" spans="1:5" x14ac:dyDescent="0.25">
      <c r="A1249" s="1">
        <v>46106</v>
      </c>
      <c r="B1249" t="s">
        <v>833</v>
      </c>
      <c r="C1249" t="s">
        <v>834</v>
      </c>
      <c r="D1249">
        <v>8</v>
      </c>
      <c r="E1249" t="s">
        <v>28</v>
      </c>
    </row>
    <row r="1250" spans="1:5" x14ac:dyDescent="0.25">
      <c r="A1250" s="1">
        <v>46106</v>
      </c>
      <c r="B1250" t="s">
        <v>829</v>
      </c>
      <c r="C1250" t="s">
        <v>830</v>
      </c>
      <c r="D1250">
        <v>5</v>
      </c>
      <c r="E1250" t="s">
        <v>126</v>
      </c>
    </row>
    <row r="1251" spans="1:5" x14ac:dyDescent="0.25">
      <c r="A1251" s="1">
        <v>46106</v>
      </c>
      <c r="B1251" t="s">
        <v>831</v>
      </c>
      <c r="C1251" t="s">
        <v>832</v>
      </c>
      <c r="D1251">
        <v>5</v>
      </c>
      <c r="E1251" t="s">
        <v>126</v>
      </c>
    </row>
    <row r="1252" spans="1:5" x14ac:dyDescent="0.25">
      <c r="A1252" s="1">
        <v>46106</v>
      </c>
      <c r="B1252" t="s">
        <v>833</v>
      </c>
      <c r="C1252" t="s">
        <v>834</v>
      </c>
      <c r="D1252">
        <v>3</v>
      </c>
      <c r="E1252" t="s">
        <v>126</v>
      </c>
    </row>
    <row r="1253" spans="1:5" x14ac:dyDescent="0.25">
      <c r="A1253" s="1">
        <v>46106</v>
      </c>
      <c r="B1253" t="s">
        <v>829</v>
      </c>
      <c r="C1253" t="s">
        <v>830</v>
      </c>
      <c r="D1253">
        <v>4</v>
      </c>
      <c r="E1253" t="s">
        <v>48</v>
      </c>
    </row>
    <row r="1254" spans="1:5" x14ac:dyDescent="0.25">
      <c r="A1254" s="1">
        <v>46106</v>
      </c>
      <c r="B1254" t="s">
        <v>831</v>
      </c>
      <c r="C1254" t="s">
        <v>832</v>
      </c>
      <c r="D1254">
        <v>6</v>
      </c>
      <c r="E1254" t="s">
        <v>48</v>
      </c>
    </row>
    <row r="1255" spans="1:5" x14ac:dyDescent="0.25">
      <c r="A1255" s="1">
        <v>46106</v>
      </c>
      <c r="B1255" t="s">
        <v>833</v>
      </c>
      <c r="C1255" t="s">
        <v>834</v>
      </c>
      <c r="D1255">
        <v>2</v>
      </c>
      <c r="E1255" t="s">
        <v>48</v>
      </c>
    </row>
    <row r="1256" spans="1:5" x14ac:dyDescent="0.25">
      <c r="A1256" s="1">
        <v>46106</v>
      </c>
      <c r="B1256" t="s">
        <v>829</v>
      </c>
      <c r="C1256" t="s">
        <v>830</v>
      </c>
      <c r="D1256">
        <v>5</v>
      </c>
      <c r="E1256" t="s">
        <v>21</v>
      </c>
    </row>
    <row r="1257" spans="1:5" x14ac:dyDescent="0.25">
      <c r="A1257" s="1">
        <v>46106</v>
      </c>
      <c r="B1257" t="s">
        <v>831</v>
      </c>
      <c r="C1257" t="s">
        <v>832</v>
      </c>
      <c r="D1257">
        <v>7</v>
      </c>
      <c r="E1257" t="s">
        <v>21</v>
      </c>
    </row>
    <row r="1258" spans="1:5" x14ac:dyDescent="0.25">
      <c r="A1258" s="1">
        <v>46106</v>
      </c>
      <c r="B1258" t="s">
        <v>833</v>
      </c>
      <c r="C1258" t="s">
        <v>834</v>
      </c>
      <c r="D1258">
        <v>1</v>
      </c>
      <c r="E1258" t="s">
        <v>21</v>
      </c>
    </row>
    <row r="1259" spans="1:5" x14ac:dyDescent="0.25">
      <c r="A1259" s="1">
        <v>46106</v>
      </c>
      <c r="B1259" t="s">
        <v>829</v>
      </c>
      <c r="C1259" t="s">
        <v>830</v>
      </c>
      <c r="D1259">
        <v>9</v>
      </c>
      <c r="E1259" t="s">
        <v>58</v>
      </c>
    </row>
    <row r="1260" spans="1:5" x14ac:dyDescent="0.25">
      <c r="A1260" s="1">
        <v>46106</v>
      </c>
      <c r="B1260" t="s">
        <v>831</v>
      </c>
      <c r="C1260" t="s">
        <v>832</v>
      </c>
      <c r="D1260">
        <v>8</v>
      </c>
      <c r="E1260" t="s">
        <v>58</v>
      </c>
    </row>
    <row r="1261" spans="1:5" x14ac:dyDescent="0.25">
      <c r="A1261" s="1">
        <v>46106</v>
      </c>
      <c r="B1261" t="s">
        <v>833</v>
      </c>
      <c r="C1261" t="s">
        <v>834</v>
      </c>
      <c r="D1261">
        <v>3</v>
      </c>
      <c r="E1261" t="s">
        <v>58</v>
      </c>
    </row>
    <row r="1262" spans="1:5" x14ac:dyDescent="0.25">
      <c r="A1262" s="1">
        <v>46107</v>
      </c>
      <c r="B1262" t="s">
        <v>829</v>
      </c>
      <c r="C1262" t="s">
        <v>830</v>
      </c>
      <c r="D1262">
        <v>9</v>
      </c>
      <c r="E1262" t="s">
        <v>28</v>
      </c>
    </row>
    <row r="1263" spans="1:5" x14ac:dyDescent="0.25">
      <c r="A1263" s="1">
        <v>46107</v>
      </c>
      <c r="B1263" t="s">
        <v>831</v>
      </c>
      <c r="C1263" t="s">
        <v>832</v>
      </c>
      <c r="D1263">
        <v>10</v>
      </c>
      <c r="E1263" t="s">
        <v>28</v>
      </c>
    </row>
    <row r="1264" spans="1:5" x14ac:dyDescent="0.25">
      <c r="A1264" s="1">
        <v>46107</v>
      </c>
      <c r="B1264" t="s">
        <v>833</v>
      </c>
      <c r="C1264" t="s">
        <v>834</v>
      </c>
      <c r="D1264">
        <v>4</v>
      </c>
      <c r="E1264" t="s">
        <v>28</v>
      </c>
    </row>
    <row r="1265" spans="1:5" x14ac:dyDescent="0.25">
      <c r="A1265" s="1">
        <v>46107</v>
      </c>
      <c r="B1265" t="s">
        <v>829</v>
      </c>
      <c r="C1265" t="s">
        <v>830</v>
      </c>
      <c r="D1265">
        <v>4</v>
      </c>
      <c r="E1265" t="s">
        <v>126</v>
      </c>
    </row>
    <row r="1266" spans="1:5" x14ac:dyDescent="0.25">
      <c r="A1266" s="1">
        <v>46107</v>
      </c>
      <c r="B1266" t="s">
        <v>831</v>
      </c>
      <c r="C1266" t="s">
        <v>832</v>
      </c>
      <c r="D1266">
        <v>4</v>
      </c>
      <c r="E1266" t="s">
        <v>126</v>
      </c>
    </row>
    <row r="1267" spans="1:5" x14ac:dyDescent="0.25">
      <c r="A1267" s="1">
        <v>46107</v>
      </c>
      <c r="B1267" t="s">
        <v>833</v>
      </c>
      <c r="C1267" t="s">
        <v>834</v>
      </c>
      <c r="D1267">
        <v>2</v>
      </c>
      <c r="E1267" t="s">
        <v>126</v>
      </c>
    </row>
    <row r="1268" spans="1:5" x14ac:dyDescent="0.25">
      <c r="A1268" s="1">
        <v>46107</v>
      </c>
      <c r="B1268" t="s">
        <v>829</v>
      </c>
      <c r="C1268" t="s">
        <v>830</v>
      </c>
      <c r="D1268">
        <v>6</v>
      </c>
      <c r="E1268" t="s">
        <v>48</v>
      </c>
    </row>
    <row r="1269" spans="1:5" x14ac:dyDescent="0.25">
      <c r="A1269" s="1">
        <v>46107</v>
      </c>
      <c r="B1269" t="s">
        <v>831</v>
      </c>
      <c r="C1269" t="s">
        <v>832</v>
      </c>
      <c r="D1269">
        <v>7</v>
      </c>
      <c r="E1269" t="s">
        <v>48</v>
      </c>
    </row>
    <row r="1270" spans="1:5" x14ac:dyDescent="0.25">
      <c r="A1270" s="1">
        <v>46107</v>
      </c>
      <c r="B1270" t="s">
        <v>833</v>
      </c>
      <c r="C1270" t="s">
        <v>834</v>
      </c>
      <c r="D1270">
        <v>4</v>
      </c>
      <c r="E1270" t="s">
        <v>48</v>
      </c>
    </row>
    <row r="1271" spans="1:5" x14ac:dyDescent="0.25">
      <c r="A1271" s="1">
        <v>46107</v>
      </c>
      <c r="B1271" t="s">
        <v>829</v>
      </c>
      <c r="C1271" t="s">
        <v>830</v>
      </c>
      <c r="D1271">
        <v>7</v>
      </c>
      <c r="E1271" t="s">
        <v>21</v>
      </c>
    </row>
    <row r="1272" spans="1:5" x14ac:dyDescent="0.25">
      <c r="A1272" s="1">
        <v>46107</v>
      </c>
      <c r="B1272" t="s">
        <v>831</v>
      </c>
      <c r="C1272" t="s">
        <v>832</v>
      </c>
      <c r="D1272">
        <v>7</v>
      </c>
      <c r="E1272" t="s">
        <v>21</v>
      </c>
    </row>
    <row r="1273" spans="1:5" x14ac:dyDescent="0.25">
      <c r="A1273" s="1">
        <v>46107</v>
      </c>
      <c r="B1273" t="s">
        <v>833</v>
      </c>
      <c r="C1273" t="s">
        <v>834</v>
      </c>
      <c r="D1273">
        <v>3</v>
      </c>
      <c r="E1273" t="s">
        <v>21</v>
      </c>
    </row>
    <row r="1274" spans="1:5" x14ac:dyDescent="0.25">
      <c r="A1274" s="1">
        <v>46107</v>
      </c>
      <c r="B1274" t="s">
        <v>829</v>
      </c>
      <c r="C1274" t="s">
        <v>830</v>
      </c>
      <c r="D1274">
        <v>7</v>
      </c>
      <c r="E1274" t="s">
        <v>58</v>
      </c>
    </row>
    <row r="1275" spans="1:5" x14ac:dyDescent="0.25">
      <c r="A1275" s="1">
        <v>46107</v>
      </c>
      <c r="B1275" t="s">
        <v>831</v>
      </c>
      <c r="C1275" t="s">
        <v>832</v>
      </c>
      <c r="D1275">
        <v>5</v>
      </c>
      <c r="E1275" t="s">
        <v>58</v>
      </c>
    </row>
    <row r="1276" spans="1:5" x14ac:dyDescent="0.25">
      <c r="A1276" s="1">
        <v>46107</v>
      </c>
      <c r="B1276" t="s">
        <v>833</v>
      </c>
      <c r="C1276" t="s">
        <v>834</v>
      </c>
      <c r="D1276">
        <v>4</v>
      </c>
      <c r="E1276" t="s">
        <v>58</v>
      </c>
    </row>
    <row r="1277" spans="1:5" x14ac:dyDescent="0.25">
      <c r="A1277" s="1">
        <v>46108</v>
      </c>
      <c r="B1277" t="s">
        <v>829</v>
      </c>
      <c r="C1277" t="s">
        <v>830</v>
      </c>
      <c r="D1277">
        <v>9</v>
      </c>
      <c r="E1277" t="s">
        <v>28</v>
      </c>
    </row>
    <row r="1278" spans="1:5" x14ac:dyDescent="0.25">
      <c r="A1278" s="1">
        <v>46108</v>
      </c>
      <c r="B1278" t="s">
        <v>831</v>
      </c>
      <c r="C1278" t="s">
        <v>832</v>
      </c>
      <c r="D1278">
        <v>8</v>
      </c>
      <c r="E1278" t="s">
        <v>28</v>
      </c>
    </row>
    <row r="1279" spans="1:5" x14ac:dyDescent="0.25">
      <c r="A1279" s="1">
        <v>46108</v>
      </c>
      <c r="B1279" t="s">
        <v>833</v>
      </c>
      <c r="C1279" t="s">
        <v>834</v>
      </c>
      <c r="D1279">
        <v>4</v>
      </c>
      <c r="E1279" t="s">
        <v>28</v>
      </c>
    </row>
    <row r="1280" spans="1:5" x14ac:dyDescent="0.25">
      <c r="A1280" s="1">
        <v>46108</v>
      </c>
      <c r="B1280" t="s">
        <v>829</v>
      </c>
      <c r="C1280" t="s">
        <v>830</v>
      </c>
      <c r="D1280">
        <v>4</v>
      </c>
      <c r="E1280" t="s">
        <v>126</v>
      </c>
    </row>
    <row r="1281" spans="1:5" x14ac:dyDescent="0.25">
      <c r="A1281" s="1">
        <v>46108</v>
      </c>
      <c r="B1281" t="s">
        <v>831</v>
      </c>
      <c r="C1281" t="s">
        <v>832</v>
      </c>
      <c r="D1281">
        <v>3</v>
      </c>
      <c r="E1281" t="s">
        <v>126</v>
      </c>
    </row>
    <row r="1282" spans="1:5" x14ac:dyDescent="0.25">
      <c r="A1282" s="1">
        <v>46108</v>
      </c>
      <c r="B1282" t="s">
        <v>833</v>
      </c>
      <c r="C1282" t="s">
        <v>834</v>
      </c>
      <c r="D1282">
        <v>5</v>
      </c>
      <c r="E1282" t="s">
        <v>126</v>
      </c>
    </row>
    <row r="1283" spans="1:5" x14ac:dyDescent="0.25">
      <c r="A1283" s="1">
        <v>46108</v>
      </c>
      <c r="B1283" t="s">
        <v>829</v>
      </c>
      <c r="C1283" t="s">
        <v>830</v>
      </c>
      <c r="D1283">
        <v>6</v>
      </c>
      <c r="E1283" t="s">
        <v>48</v>
      </c>
    </row>
    <row r="1284" spans="1:5" x14ac:dyDescent="0.25">
      <c r="A1284" s="1">
        <v>46108</v>
      </c>
      <c r="B1284" t="s">
        <v>831</v>
      </c>
      <c r="C1284" t="s">
        <v>832</v>
      </c>
      <c r="D1284">
        <v>5</v>
      </c>
      <c r="E1284" t="s">
        <v>48</v>
      </c>
    </row>
    <row r="1285" spans="1:5" x14ac:dyDescent="0.25">
      <c r="A1285" s="1">
        <v>46108</v>
      </c>
      <c r="B1285" t="s">
        <v>833</v>
      </c>
      <c r="C1285" t="s">
        <v>834</v>
      </c>
      <c r="D1285">
        <v>1</v>
      </c>
      <c r="E1285" t="s">
        <v>48</v>
      </c>
    </row>
    <row r="1286" spans="1:5" x14ac:dyDescent="0.25">
      <c r="A1286" s="1">
        <v>46108</v>
      </c>
      <c r="B1286" t="s">
        <v>829</v>
      </c>
      <c r="C1286" t="s">
        <v>830</v>
      </c>
      <c r="D1286">
        <v>8</v>
      </c>
      <c r="E1286" t="s">
        <v>21</v>
      </c>
    </row>
    <row r="1287" spans="1:5" x14ac:dyDescent="0.25">
      <c r="A1287" s="1">
        <v>46108</v>
      </c>
      <c r="B1287" t="s">
        <v>831</v>
      </c>
      <c r="C1287" t="s">
        <v>832</v>
      </c>
      <c r="D1287">
        <v>5</v>
      </c>
      <c r="E1287" t="s">
        <v>21</v>
      </c>
    </row>
    <row r="1288" spans="1:5" x14ac:dyDescent="0.25">
      <c r="A1288" s="1">
        <v>46108</v>
      </c>
      <c r="B1288" t="s">
        <v>833</v>
      </c>
      <c r="C1288" t="s">
        <v>834</v>
      </c>
      <c r="D1288">
        <v>5</v>
      </c>
      <c r="E1288" t="s">
        <v>21</v>
      </c>
    </row>
    <row r="1289" spans="1:5" x14ac:dyDescent="0.25">
      <c r="A1289" s="1">
        <v>46108</v>
      </c>
      <c r="B1289" t="s">
        <v>829</v>
      </c>
      <c r="C1289" t="s">
        <v>830</v>
      </c>
      <c r="D1289">
        <v>8</v>
      </c>
      <c r="E1289" t="s">
        <v>58</v>
      </c>
    </row>
    <row r="1290" spans="1:5" x14ac:dyDescent="0.25">
      <c r="A1290" s="1">
        <v>46108</v>
      </c>
      <c r="B1290" t="s">
        <v>831</v>
      </c>
      <c r="C1290" t="s">
        <v>832</v>
      </c>
      <c r="D1290">
        <v>7</v>
      </c>
      <c r="E1290" t="s">
        <v>58</v>
      </c>
    </row>
    <row r="1291" spans="1:5" x14ac:dyDescent="0.25">
      <c r="A1291" s="1">
        <v>46108</v>
      </c>
      <c r="B1291" t="s">
        <v>833</v>
      </c>
      <c r="C1291" t="s">
        <v>834</v>
      </c>
      <c r="D1291">
        <v>5</v>
      </c>
      <c r="E1291" t="s">
        <v>58</v>
      </c>
    </row>
    <row r="1292" spans="1:5" x14ac:dyDescent="0.25">
      <c r="A1292" s="1">
        <v>46109</v>
      </c>
      <c r="B1292" t="s">
        <v>829</v>
      </c>
      <c r="C1292" t="s">
        <v>830</v>
      </c>
      <c r="D1292">
        <v>8</v>
      </c>
      <c r="E1292" t="s">
        <v>28</v>
      </c>
    </row>
    <row r="1293" spans="1:5" x14ac:dyDescent="0.25">
      <c r="A1293" s="1">
        <v>46109</v>
      </c>
      <c r="B1293" t="s">
        <v>831</v>
      </c>
      <c r="C1293" t="s">
        <v>832</v>
      </c>
      <c r="D1293">
        <v>8</v>
      </c>
      <c r="E1293" t="s">
        <v>28</v>
      </c>
    </row>
    <row r="1294" spans="1:5" x14ac:dyDescent="0.25">
      <c r="A1294" s="1">
        <v>46109</v>
      </c>
      <c r="B1294" t="s">
        <v>833</v>
      </c>
      <c r="C1294" t="s">
        <v>834</v>
      </c>
      <c r="D1294">
        <v>4</v>
      </c>
      <c r="E1294" t="s">
        <v>28</v>
      </c>
    </row>
    <row r="1295" spans="1:5" x14ac:dyDescent="0.25">
      <c r="A1295" s="1">
        <v>46109</v>
      </c>
      <c r="B1295" t="s">
        <v>829</v>
      </c>
      <c r="C1295" t="s">
        <v>830</v>
      </c>
      <c r="D1295">
        <v>5</v>
      </c>
      <c r="E1295" t="s">
        <v>126</v>
      </c>
    </row>
    <row r="1296" spans="1:5" x14ac:dyDescent="0.25">
      <c r="A1296" s="1">
        <v>46109</v>
      </c>
      <c r="B1296" t="s">
        <v>831</v>
      </c>
      <c r="C1296" t="s">
        <v>832</v>
      </c>
      <c r="D1296">
        <v>6</v>
      </c>
      <c r="E1296" t="s">
        <v>126</v>
      </c>
    </row>
    <row r="1297" spans="1:5" x14ac:dyDescent="0.25">
      <c r="A1297" s="1">
        <v>46109</v>
      </c>
      <c r="B1297" t="s">
        <v>833</v>
      </c>
      <c r="C1297" t="s">
        <v>834</v>
      </c>
      <c r="D1297">
        <v>3</v>
      </c>
      <c r="E1297" t="s">
        <v>126</v>
      </c>
    </row>
    <row r="1298" spans="1:5" x14ac:dyDescent="0.25">
      <c r="A1298" s="1">
        <v>46109</v>
      </c>
      <c r="B1298" t="s">
        <v>829</v>
      </c>
      <c r="C1298" t="s">
        <v>830</v>
      </c>
      <c r="D1298">
        <v>4</v>
      </c>
      <c r="E1298" t="s">
        <v>48</v>
      </c>
    </row>
    <row r="1299" spans="1:5" x14ac:dyDescent="0.25">
      <c r="A1299" s="1">
        <v>46109</v>
      </c>
      <c r="B1299" t="s">
        <v>831</v>
      </c>
      <c r="C1299" t="s">
        <v>832</v>
      </c>
      <c r="D1299">
        <v>3</v>
      </c>
      <c r="E1299" t="s">
        <v>48</v>
      </c>
    </row>
    <row r="1300" spans="1:5" x14ac:dyDescent="0.25">
      <c r="A1300" s="1">
        <v>46109</v>
      </c>
      <c r="B1300" t="s">
        <v>833</v>
      </c>
      <c r="C1300" t="s">
        <v>834</v>
      </c>
      <c r="D1300">
        <v>1</v>
      </c>
      <c r="E1300" t="s">
        <v>48</v>
      </c>
    </row>
    <row r="1301" spans="1:5" x14ac:dyDescent="0.25">
      <c r="A1301" s="1">
        <v>46109</v>
      </c>
      <c r="B1301" t="s">
        <v>829</v>
      </c>
      <c r="C1301" t="s">
        <v>830</v>
      </c>
      <c r="D1301">
        <v>4</v>
      </c>
      <c r="E1301" t="s">
        <v>21</v>
      </c>
    </row>
    <row r="1302" spans="1:5" x14ac:dyDescent="0.25">
      <c r="A1302" s="1">
        <v>46109</v>
      </c>
      <c r="B1302" t="s">
        <v>831</v>
      </c>
      <c r="C1302" t="s">
        <v>832</v>
      </c>
      <c r="D1302">
        <v>3</v>
      </c>
      <c r="E1302" t="s">
        <v>21</v>
      </c>
    </row>
    <row r="1303" spans="1:5" x14ac:dyDescent="0.25">
      <c r="A1303" s="1">
        <v>46109</v>
      </c>
      <c r="B1303" t="s">
        <v>833</v>
      </c>
      <c r="C1303" t="s">
        <v>834</v>
      </c>
      <c r="D1303">
        <v>3</v>
      </c>
      <c r="E1303" t="s">
        <v>21</v>
      </c>
    </row>
    <row r="1304" spans="1:5" x14ac:dyDescent="0.25">
      <c r="A1304" s="1">
        <v>46109</v>
      </c>
      <c r="B1304" t="s">
        <v>829</v>
      </c>
      <c r="C1304" t="s">
        <v>830</v>
      </c>
      <c r="D1304">
        <v>6</v>
      </c>
      <c r="E1304" t="s">
        <v>58</v>
      </c>
    </row>
    <row r="1305" spans="1:5" x14ac:dyDescent="0.25">
      <c r="A1305" s="1">
        <v>46109</v>
      </c>
      <c r="B1305" t="s">
        <v>831</v>
      </c>
      <c r="C1305" t="s">
        <v>832</v>
      </c>
      <c r="D1305">
        <v>3</v>
      </c>
      <c r="E1305" t="s">
        <v>58</v>
      </c>
    </row>
    <row r="1306" spans="1:5" x14ac:dyDescent="0.25">
      <c r="A1306" s="1">
        <v>46109</v>
      </c>
      <c r="B1306" t="s">
        <v>833</v>
      </c>
      <c r="C1306" t="s">
        <v>834</v>
      </c>
      <c r="D1306">
        <v>1</v>
      </c>
      <c r="E1306" t="s">
        <v>58</v>
      </c>
    </row>
    <row r="1307" spans="1:5" x14ac:dyDescent="0.25">
      <c r="A1307" s="1">
        <v>46110</v>
      </c>
      <c r="B1307" t="s">
        <v>829</v>
      </c>
      <c r="C1307" t="s">
        <v>830</v>
      </c>
      <c r="D1307">
        <v>7</v>
      </c>
      <c r="E1307" t="s">
        <v>28</v>
      </c>
    </row>
    <row r="1308" spans="1:5" x14ac:dyDescent="0.25">
      <c r="A1308" s="1">
        <v>46110</v>
      </c>
      <c r="B1308" t="s">
        <v>831</v>
      </c>
      <c r="C1308" t="s">
        <v>832</v>
      </c>
      <c r="D1308">
        <v>9</v>
      </c>
      <c r="E1308" t="s">
        <v>28</v>
      </c>
    </row>
    <row r="1309" spans="1:5" x14ac:dyDescent="0.25">
      <c r="A1309" s="1">
        <v>46110</v>
      </c>
      <c r="B1309" t="s">
        <v>833</v>
      </c>
      <c r="C1309" t="s">
        <v>834</v>
      </c>
      <c r="D1309">
        <v>3</v>
      </c>
      <c r="E1309" t="s">
        <v>28</v>
      </c>
    </row>
    <row r="1310" spans="1:5" x14ac:dyDescent="0.25">
      <c r="A1310" s="1">
        <v>46110</v>
      </c>
      <c r="B1310" t="s">
        <v>829</v>
      </c>
      <c r="C1310" t="s">
        <v>830</v>
      </c>
      <c r="D1310">
        <v>3</v>
      </c>
      <c r="E1310" t="s">
        <v>126</v>
      </c>
    </row>
    <row r="1311" spans="1:5" x14ac:dyDescent="0.25">
      <c r="A1311" s="1">
        <v>46110</v>
      </c>
      <c r="B1311" t="s">
        <v>831</v>
      </c>
      <c r="C1311" t="s">
        <v>832</v>
      </c>
      <c r="D1311">
        <v>6</v>
      </c>
      <c r="E1311" t="s">
        <v>126</v>
      </c>
    </row>
    <row r="1312" spans="1:5" x14ac:dyDescent="0.25">
      <c r="A1312" s="1">
        <v>46110</v>
      </c>
      <c r="B1312" t="s">
        <v>833</v>
      </c>
      <c r="C1312" t="s">
        <v>834</v>
      </c>
      <c r="D1312">
        <v>2</v>
      </c>
      <c r="E1312" t="s">
        <v>126</v>
      </c>
    </row>
    <row r="1313" spans="1:5" x14ac:dyDescent="0.25">
      <c r="A1313" s="1">
        <v>46110</v>
      </c>
      <c r="B1313" t="s">
        <v>829</v>
      </c>
      <c r="C1313" t="s">
        <v>830</v>
      </c>
      <c r="D1313">
        <v>7</v>
      </c>
      <c r="E1313" t="s">
        <v>48</v>
      </c>
    </row>
    <row r="1314" spans="1:5" x14ac:dyDescent="0.25">
      <c r="A1314" s="1">
        <v>46110</v>
      </c>
      <c r="B1314" t="s">
        <v>831</v>
      </c>
      <c r="C1314" t="s">
        <v>832</v>
      </c>
      <c r="D1314">
        <v>6</v>
      </c>
      <c r="E1314" t="s">
        <v>48</v>
      </c>
    </row>
    <row r="1315" spans="1:5" x14ac:dyDescent="0.25">
      <c r="A1315" s="1">
        <v>46110</v>
      </c>
      <c r="B1315" t="s">
        <v>833</v>
      </c>
      <c r="C1315" t="s">
        <v>834</v>
      </c>
      <c r="D1315">
        <v>3</v>
      </c>
      <c r="E1315" t="s">
        <v>48</v>
      </c>
    </row>
    <row r="1316" spans="1:5" x14ac:dyDescent="0.25">
      <c r="A1316" s="1">
        <v>46110</v>
      </c>
      <c r="B1316" t="s">
        <v>829</v>
      </c>
      <c r="C1316" t="s">
        <v>830</v>
      </c>
      <c r="D1316">
        <v>7</v>
      </c>
      <c r="E1316" t="s">
        <v>21</v>
      </c>
    </row>
    <row r="1317" spans="1:5" x14ac:dyDescent="0.25">
      <c r="A1317" s="1">
        <v>46110</v>
      </c>
      <c r="B1317" t="s">
        <v>831</v>
      </c>
      <c r="C1317" t="s">
        <v>832</v>
      </c>
      <c r="D1317">
        <v>6</v>
      </c>
      <c r="E1317" t="s">
        <v>21</v>
      </c>
    </row>
    <row r="1318" spans="1:5" x14ac:dyDescent="0.25">
      <c r="A1318" s="1">
        <v>46110</v>
      </c>
      <c r="B1318" t="s">
        <v>833</v>
      </c>
      <c r="C1318" t="s">
        <v>834</v>
      </c>
      <c r="D1318">
        <v>3</v>
      </c>
      <c r="E1318" t="s">
        <v>21</v>
      </c>
    </row>
    <row r="1319" spans="1:5" x14ac:dyDescent="0.25">
      <c r="A1319" s="1">
        <v>46110</v>
      </c>
      <c r="B1319" t="s">
        <v>829</v>
      </c>
      <c r="C1319" t="s">
        <v>830</v>
      </c>
      <c r="D1319">
        <v>7</v>
      </c>
      <c r="E1319" t="s">
        <v>58</v>
      </c>
    </row>
    <row r="1320" spans="1:5" x14ac:dyDescent="0.25">
      <c r="A1320" s="1">
        <v>46110</v>
      </c>
      <c r="B1320" t="s">
        <v>831</v>
      </c>
      <c r="C1320" t="s">
        <v>832</v>
      </c>
      <c r="D1320">
        <v>4</v>
      </c>
      <c r="E1320" t="s">
        <v>58</v>
      </c>
    </row>
    <row r="1321" spans="1:5" x14ac:dyDescent="0.25">
      <c r="A1321" s="1">
        <v>46110</v>
      </c>
      <c r="B1321" t="s">
        <v>833</v>
      </c>
      <c r="C1321" t="s">
        <v>834</v>
      </c>
      <c r="D1321">
        <v>1</v>
      </c>
      <c r="E1321" t="s">
        <v>58</v>
      </c>
    </row>
    <row r="1322" spans="1:5" x14ac:dyDescent="0.25">
      <c r="A1322" s="1">
        <v>46111</v>
      </c>
      <c r="B1322" t="s">
        <v>829</v>
      </c>
      <c r="C1322" t="s">
        <v>830</v>
      </c>
      <c r="D1322">
        <v>5</v>
      </c>
      <c r="E1322" t="s">
        <v>28</v>
      </c>
    </row>
    <row r="1323" spans="1:5" x14ac:dyDescent="0.25">
      <c r="A1323" s="1">
        <v>46111</v>
      </c>
      <c r="B1323" t="s">
        <v>831</v>
      </c>
      <c r="C1323" t="s">
        <v>832</v>
      </c>
      <c r="D1323">
        <v>12</v>
      </c>
      <c r="E1323" t="s">
        <v>28</v>
      </c>
    </row>
    <row r="1324" spans="1:5" x14ac:dyDescent="0.25">
      <c r="A1324" s="1">
        <v>46111</v>
      </c>
      <c r="B1324" t="s">
        <v>833</v>
      </c>
      <c r="C1324" t="s">
        <v>834</v>
      </c>
      <c r="D1324">
        <v>4</v>
      </c>
      <c r="E1324" t="s">
        <v>28</v>
      </c>
    </row>
    <row r="1325" spans="1:5" x14ac:dyDescent="0.25">
      <c r="A1325" s="1">
        <v>46111</v>
      </c>
      <c r="B1325" t="s">
        <v>829</v>
      </c>
      <c r="C1325" t="s">
        <v>830</v>
      </c>
      <c r="D1325">
        <v>7</v>
      </c>
      <c r="E1325" t="s">
        <v>126</v>
      </c>
    </row>
    <row r="1326" spans="1:5" x14ac:dyDescent="0.25">
      <c r="A1326" s="1">
        <v>46111</v>
      </c>
      <c r="B1326" t="s">
        <v>831</v>
      </c>
      <c r="C1326" t="s">
        <v>832</v>
      </c>
      <c r="D1326">
        <v>4</v>
      </c>
      <c r="E1326" t="s">
        <v>126</v>
      </c>
    </row>
    <row r="1327" spans="1:5" x14ac:dyDescent="0.25">
      <c r="A1327" s="1">
        <v>46111</v>
      </c>
      <c r="B1327" t="s">
        <v>833</v>
      </c>
      <c r="C1327" t="s">
        <v>834</v>
      </c>
      <c r="D1327">
        <v>2</v>
      </c>
      <c r="E1327" t="s">
        <v>126</v>
      </c>
    </row>
    <row r="1328" spans="1:5" x14ac:dyDescent="0.25">
      <c r="A1328" s="1">
        <v>46111</v>
      </c>
      <c r="B1328" t="s">
        <v>829</v>
      </c>
      <c r="C1328" t="s">
        <v>830</v>
      </c>
      <c r="D1328">
        <v>5</v>
      </c>
      <c r="E1328" t="s">
        <v>48</v>
      </c>
    </row>
    <row r="1329" spans="1:5" x14ac:dyDescent="0.25">
      <c r="A1329" s="1">
        <v>46111</v>
      </c>
      <c r="B1329" t="s">
        <v>831</v>
      </c>
      <c r="C1329" t="s">
        <v>832</v>
      </c>
      <c r="D1329">
        <v>3</v>
      </c>
      <c r="E1329" t="s">
        <v>48</v>
      </c>
    </row>
    <row r="1330" spans="1:5" x14ac:dyDescent="0.25">
      <c r="A1330" s="1">
        <v>46111</v>
      </c>
      <c r="B1330" t="s">
        <v>833</v>
      </c>
      <c r="C1330" t="s">
        <v>834</v>
      </c>
      <c r="D1330">
        <v>1</v>
      </c>
      <c r="E1330" t="s">
        <v>48</v>
      </c>
    </row>
    <row r="1331" spans="1:5" x14ac:dyDescent="0.25">
      <c r="A1331" s="1">
        <v>46111</v>
      </c>
      <c r="B1331" t="s">
        <v>829</v>
      </c>
      <c r="C1331" t="s">
        <v>830</v>
      </c>
      <c r="D1331">
        <v>4</v>
      </c>
      <c r="E1331" t="s">
        <v>21</v>
      </c>
    </row>
    <row r="1332" spans="1:5" x14ac:dyDescent="0.25">
      <c r="A1332" s="1">
        <v>46111</v>
      </c>
      <c r="B1332" t="s">
        <v>831</v>
      </c>
      <c r="C1332" t="s">
        <v>832</v>
      </c>
      <c r="D1332">
        <v>7</v>
      </c>
      <c r="E1332" t="s">
        <v>21</v>
      </c>
    </row>
    <row r="1333" spans="1:5" x14ac:dyDescent="0.25">
      <c r="A1333" s="1">
        <v>46111</v>
      </c>
      <c r="B1333" t="s">
        <v>833</v>
      </c>
      <c r="C1333" t="s">
        <v>834</v>
      </c>
      <c r="D1333">
        <v>5</v>
      </c>
      <c r="E1333" t="s">
        <v>21</v>
      </c>
    </row>
    <row r="1334" spans="1:5" x14ac:dyDescent="0.25">
      <c r="A1334" s="1">
        <v>46111</v>
      </c>
      <c r="B1334" t="s">
        <v>829</v>
      </c>
      <c r="C1334" t="s">
        <v>830</v>
      </c>
      <c r="D1334">
        <v>8</v>
      </c>
      <c r="E1334" t="s">
        <v>58</v>
      </c>
    </row>
    <row r="1335" spans="1:5" x14ac:dyDescent="0.25">
      <c r="A1335" s="1">
        <v>46111</v>
      </c>
      <c r="B1335" t="s">
        <v>831</v>
      </c>
      <c r="C1335" t="s">
        <v>832</v>
      </c>
      <c r="D1335">
        <v>5</v>
      </c>
      <c r="E1335" t="s">
        <v>58</v>
      </c>
    </row>
    <row r="1336" spans="1:5" x14ac:dyDescent="0.25">
      <c r="A1336" s="1">
        <v>46111</v>
      </c>
      <c r="B1336" t="s">
        <v>833</v>
      </c>
      <c r="C1336" t="s">
        <v>834</v>
      </c>
      <c r="D1336">
        <v>4</v>
      </c>
      <c r="E1336" t="s">
        <v>58</v>
      </c>
    </row>
    <row r="1337" spans="1:5" x14ac:dyDescent="0.25">
      <c r="A1337" s="1">
        <v>46112</v>
      </c>
      <c r="B1337" t="s">
        <v>829</v>
      </c>
      <c r="C1337" t="s">
        <v>830</v>
      </c>
      <c r="D1337">
        <v>9</v>
      </c>
      <c r="E1337" t="s">
        <v>28</v>
      </c>
    </row>
    <row r="1338" spans="1:5" x14ac:dyDescent="0.25">
      <c r="A1338" s="1">
        <v>46112</v>
      </c>
      <c r="B1338" t="s">
        <v>831</v>
      </c>
      <c r="C1338" t="s">
        <v>832</v>
      </c>
      <c r="D1338">
        <v>12</v>
      </c>
      <c r="E1338" t="s">
        <v>28</v>
      </c>
    </row>
    <row r="1339" spans="1:5" x14ac:dyDescent="0.25">
      <c r="A1339" s="1">
        <v>46112</v>
      </c>
      <c r="B1339" t="s">
        <v>833</v>
      </c>
      <c r="C1339" t="s">
        <v>834</v>
      </c>
      <c r="D1339">
        <v>8</v>
      </c>
      <c r="E1339" t="s">
        <v>28</v>
      </c>
    </row>
    <row r="1340" spans="1:5" x14ac:dyDescent="0.25">
      <c r="A1340" s="1">
        <v>46112</v>
      </c>
      <c r="B1340" t="s">
        <v>829</v>
      </c>
      <c r="C1340" t="s">
        <v>830</v>
      </c>
      <c r="D1340">
        <v>7</v>
      </c>
      <c r="E1340" t="s">
        <v>126</v>
      </c>
    </row>
    <row r="1341" spans="1:5" x14ac:dyDescent="0.25">
      <c r="A1341" s="1">
        <v>46112</v>
      </c>
      <c r="B1341" t="s">
        <v>831</v>
      </c>
      <c r="C1341" t="s">
        <v>832</v>
      </c>
      <c r="D1341">
        <v>7</v>
      </c>
      <c r="E1341" t="s">
        <v>126</v>
      </c>
    </row>
    <row r="1342" spans="1:5" x14ac:dyDescent="0.25">
      <c r="A1342" s="1">
        <v>46112</v>
      </c>
      <c r="B1342" t="s">
        <v>833</v>
      </c>
      <c r="C1342" t="s">
        <v>834</v>
      </c>
      <c r="D1342">
        <v>2</v>
      </c>
      <c r="E1342" t="s">
        <v>126</v>
      </c>
    </row>
    <row r="1343" spans="1:5" x14ac:dyDescent="0.25">
      <c r="A1343" s="1">
        <v>46112</v>
      </c>
      <c r="B1343" t="s">
        <v>829</v>
      </c>
      <c r="C1343" t="s">
        <v>830</v>
      </c>
      <c r="D1343">
        <v>8</v>
      </c>
      <c r="E1343" t="s">
        <v>48</v>
      </c>
    </row>
    <row r="1344" spans="1:5" x14ac:dyDescent="0.25">
      <c r="A1344" s="1">
        <v>46112</v>
      </c>
      <c r="B1344" t="s">
        <v>831</v>
      </c>
      <c r="C1344" t="s">
        <v>832</v>
      </c>
      <c r="D1344">
        <v>5</v>
      </c>
      <c r="E1344" t="s">
        <v>48</v>
      </c>
    </row>
    <row r="1345" spans="1:5" x14ac:dyDescent="0.25">
      <c r="A1345" s="1">
        <v>46112</v>
      </c>
      <c r="B1345" t="s">
        <v>833</v>
      </c>
      <c r="C1345" t="s">
        <v>834</v>
      </c>
      <c r="D1345">
        <v>1</v>
      </c>
      <c r="E1345" t="s">
        <v>48</v>
      </c>
    </row>
    <row r="1346" spans="1:5" x14ac:dyDescent="0.25">
      <c r="A1346" s="1">
        <v>46112</v>
      </c>
      <c r="B1346" t="s">
        <v>829</v>
      </c>
      <c r="C1346" t="s">
        <v>830</v>
      </c>
      <c r="D1346">
        <v>6</v>
      </c>
      <c r="E1346" t="s">
        <v>21</v>
      </c>
    </row>
    <row r="1347" spans="1:5" x14ac:dyDescent="0.25">
      <c r="A1347" s="1">
        <v>46112</v>
      </c>
      <c r="B1347" t="s">
        <v>831</v>
      </c>
      <c r="C1347" t="s">
        <v>832</v>
      </c>
      <c r="D1347">
        <v>3</v>
      </c>
      <c r="E1347" t="s">
        <v>21</v>
      </c>
    </row>
    <row r="1348" spans="1:5" x14ac:dyDescent="0.25">
      <c r="A1348" s="1">
        <v>46112</v>
      </c>
      <c r="B1348" t="s">
        <v>833</v>
      </c>
      <c r="C1348" t="s">
        <v>834</v>
      </c>
      <c r="D1348">
        <v>4</v>
      </c>
      <c r="E1348" t="s">
        <v>21</v>
      </c>
    </row>
    <row r="1349" spans="1:5" x14ac:dyDescent="0.25">
      <c r="A1349" s="1">
        <v>46112</v>
      </c>
      <c r="B1349" t="s">
        <v>829</v>
      </c>
      <c r="C1349" t="s">
        <v>830</v>
      </c>
      <c r="D1349">
        <v>11</v>
      </c>
      <c r="E1349" t="s">
        <v>58</v>
      </c>
    </row>
    <row r="1350" spans="1:5" x14ac:dyDescent="0.25">
      <c r="A1350" s="1">
        <v>46112</v>
      </c>
      <c r="B1350" t="s">
        <v>831</v>
      </c>
      <c r="C1350" t="s">
        <v>832</v>
      </c>
      <c r="D1350">
        <v>4</v>
      </c>
      <c r="E1350" t="s">
        <v>58</v>
      </c>
    </row>
    <row r="1351" spans="1:5" x14ac:dyDescent="0.25">
      <c r="A1351" s="1">
        <v>46112</v>
      </c>
      <c r="B1351" t="s">
        <v>833</v>
      </c>
      <c r="C1351" t="s">
        <v>834</v>
      </c>
      <c r="D1351">
        <v>4</v>
      </c>
      <c r="E1351" t="s">
        <v>58</v>
      </c>
    </row>
  </sheetData>
  <sheetProtection algorithmName="SHA-512" hashValue="OqQFpEeayOzslErAOo88IiH3WZtXYJGiYVu5X5BD0RtMfsINW4BTAllR9ul0DRiYOZU84VwRd+GBpKYnnXX7LA==" saltValue="qNVB1eiXekacGcuOBSxdFQ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A6A1-AB7C-413D-8573-D2F1EE8959E9}">
  <dimension ref="A1:P817"/>
  <sheetViews>
    <sheetView workbookViewId="0">
      <selection activeCell="H22" sqref="H22"/>
    </sheetView>
  </sheetViews>
  <sheetFormatPr defaultRowHeight="15" x14ac:dyDescent="0.25"/>
  <cols>
    <col min="1" max="1" width="9.7109375" bestFit="1" customWidth="1"/>
    <col min="2" max="2" width="12" bestFit="1" customWidth="1"/>
    <col min="3" max="3" width="13.85546875" style="4" bestFit="1" customWidth="1"/>
    <col min="4" max="4" width="19.7109375" bestFit="1" customWidth="1"/>
    <col min="5" max="5" width="24" bestFit="1" customWidth="1"/>
    <col min="6" max="6" width="15.5703125" bestFit="1" customWidth="1"/>
    <col min="7" max="7" width="6.5703125" bestFit="1" customWidth="1"/>
    <col min="8" max="8" width="10" bestFit="1" customWidth="1"/>
    <col min="9" max="9" width="12.140625" bestFit="1" customWidth="1"/>
    <col min="10" max="10" width="17.7109375" bestFit="1" customWidth="1"/>
    <col min="11" max="11" width="23" bestFit="1" customWidth="1"/>
    <col min="12" max="12" width="18.7109375" bestFit="1" customWidth="1"/>
    <col min="13" max="13" width="17.5703125" bestFit="1" customWidth="1"/>
    <col min="14" max="14" width="17.28515625" style="2" bestFit="1" customWidth="1"/>
    <col min="15" max="15" width="12.28515625" style="2" bestFit="1" customWidth="1"/>
    <col min="16" max="16" width="15" bestFit="1" customWidth="1"/>
  </cols>
  <sheetData>
    <row r="1" spans="1:16" x14ac:dyDescent="0.25">
      <c r="A1" t="s">
        <v>0</v>
      </c>
      <c r="B1" t="s">
        <v>1</v>
      </c>
      <c r="C1" s="4" t="s">
        <v>2</v>
      </c>
      <c r="D1" t="s">
        <v>844</v>
      </c>
      <c r="E1" t="s">
        <v>845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2" t="s">
        <v>11</v>
      </c>
      <c r="O1" s="2" t="s">
        <v>1646</v>
      </c>
      <c r="P1" t="s">
        <v>828</v>
      </c>
    </row>
    <row r="2" spans="1:16" x14ac:dyDescent="0.25">
      <c r="A2" t="s">
        <v>864</v>
      </c>
      <c r="B2" s="1">
        <v>46023</v>
      </c>
      <c r="C2" s="4">
        <v>0.23055555555555557</v>
      </c>
      <c r="D2" t="s">
        <v>58</v>
      </c>
      <c r="E2" t="s">
        <v>842</v>
      </c>
      <c r="F2" t="s">
        <v>36</v>
      </c>
      <c r="G2">
        <v>40</v>
      </c>
      <c r="H2" t="s">
        <v>847</v>
      </c>
      <c r="I2" t="s">
        <v>38</v>
      </c>
      <c r="J2">
        <v>50</v>
      </c>
      <c r="K2">
        <v>83</v>
      </c>
      <c r="L2">
        <v>3.6</v>
      </c>
      <c r="M2" t="s">
        <v>14</v>
      </c>
      <c r="N2" s="2">
        <v>3390.98</v>
      </c>
      <c r="O2" s="2" t="str">
        <f>IF(EHR_Export[[#This Row],[Arrival Time]]&lt;=TIME(7,0,0), "Night", IF(EHR_Export[[#This Row],[Arrival Time]]&lt;TIME(15,0,0), "Day", "Evening"))</f>
        <v>Night</v>
      </c>
      <c r="P2" cm="1">
        <f t="array" ref="P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" spans="1:16" x14ac:dyDescent="0.25">
      <c r="A3" t="s">
        <v>896</v>
      </c>
      <c r="B3" s="1">
        <v>46023</v>
      </c>
      <c r="C3" s="4">
        <v>0.37986111111111109</v>
      </c>
      <c r="D3" t="s">
        <v>58</v>
      </c>
      <c r="E3" t="s">
        <v>842</v>
      </c>
      <c r="F3" t="s">
        <v>74</v>
      </c>
      <c r="G3">
        <v>23</v>
      </c>
      <c r="H3" t="s">
        <v>849</v>
      </c>
      <c r="I3" t="s">
        <v>34</v>
      </c>
      <c r="J3">
        <v>55</v>
      </c>
      <c r="K3">
        <v>79</v>
      </c>
      <c r="L3">
        <v>3.5</v>
      </c>
      <c r="M3" t="s">
        <v>14</v>
      </c>
      <c r="N3" s="2">
        <v>3996.59</v>
      </c>
      <c r="O3" s="2" t="str">
        <f>IF(EHR_Export[[#This Row],[Arrival Time]]&lt;=TIME(7,0,0), "Night", IF(EHR_Export[[#This Row],[Arrival Time]]&lt;TIME(15,0,0), "Day", "Evening"))</f>
        <v>Day</v>
      </c>
      <c r="P3" cm="1">
        <f t="array" ref="P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" spans="1:16" x14ac:dyDescent="0.25">
      <c r="A4" t="s">
        <v>1190</v>
      </c>
      <c r="B4" s="1">
        <v>46023</v>
      </c>
      <c r="C4" s="4">
        <v>0.92152777777777772</v>
      </c>
      <c r="D4" t="s">
        <v>126</v>
      </c>
      <c r="E4" t="s">
        <v>46</v>
      </c>
      <c r="F4" t="s">
        <v>369</v>
      </c>
      <c r="G4">
        <v>36</v>
      </c>
      <c r="H4" t="s">
        <v>847</v>
      </c>
      <c r="I4" t="s">
        <v>38</v>
      </c>
      <c r="J4">
        <v>29</v>
      </c>
      <c r="K4">
        <v>78</v>
      </c>
      <c r="M4" t="s">
        <v>14</v>
      </c>
      <c r="N4" s="2">
        <v>2343.67</v>
      </c>
      <c r="O4" s="2" t="str">
        <f>IF(EHR_Export[[#This Row],[Arrival Time]]&lt;=TIME(7,0,0), "Night", IF(EHR_Export[[#This Row],[Arrival Time]]&lt;TIME(15,0,0), "Day", "Evening"))</f>
        <v>Evening</v>
      </c>
      <c r="P4" cm="1">
        <f t="array" ref="P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" spans="1:16" x14ac:dyDescent="0.25">
      <c r="A5" t="s">
        <v>1291</v>
      </c>
      <c r="B5" s="1">
        <v>46023</v>
      </c>
      <c r="C5" s="4">
        <v>0.80347222222222225</v>
      </c>
      <c r="D5" t="s">
        <v>21</v>
      </c>
      <c r="E5" t="s">
        <v>53</v>
      </c>
      <c r="F5" t="s">
        <v>470</v>
      </c>
      <c r="G5">
        <v>35</v>
      </c>
      <c r="H5" t="s">
        <v>849</v>
      </c>
      <c r="I5" t="s">
        <v>38</v>
      </c>
      <c r="J5">
        <v>23</v>
      </c>
      <c r="K5">
        <v>69</v>
      </c>
      <c r="L5">
        <v>4.3</v>
      </c>
      <c r="M5" t="s">
        <v>14</v>
      </c>
      <c r="N5" s="2">
        <v>620.4</v>
      </c>
      <c r="O5" s="2" t="str">
        <f>IF(EHR_Export[[#This Row],[Arrival Time]]&lt;=TIME(7,0,0), "Night", IF(EHR_Export[[#This Row],[Arrival Time]]&lt;TIME(15,0,0), "Day", "Evening"))</f>
        <v>Evening</v>
      </c>
      <c r="P5" cm="1">
        <f t="array" ref="P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" spans="1:16" x14ac:dyDescent="0.25">
      <c r="A6" t="s">
        <v>1304</v>
      </c>
      <c r="B6" s="1">
        <v>46023</v>
      </c>
      <c r="C6" s="4">
        <v>0.72499999999999998</v>
      </c>
      <c r="D6" t="s">
        <v>126</v>
      </c>
      <c r="E6" t="s">
        <v>46</v>
      </c>
      <c r="F6" t="s">
        <v>483</v>
      </c>
      <c r="G6">
        <v>63</v>
      </c>
      <c r="H6" t="s">
        <v>849</v>
      </c>
      <c r="I6" t="s">
        <v>34</v>
      </c>
      <c r="J6">
        <v>21</v>
      </c>
      <c r="K6">
        <v>46</v>
      </c>
      <c r="L6">
        <v>4.4000000000000004</v>
      </c>
      <c r="M6" t="s">
        <v>14</v>
      </c>
      <c r="O6" s="2" t="str">
        <f>IF(EHR_Export[[#This Row],[Arrival Time]]&lt;=TIME(7,0,0), "Night", IF(EHR_Export[[#This Row],[Arrival Time]]&lt;TIME(15,0,0), "Day", "Evening"))</f>
        <v>Evening</v>
      </c>
      <c r="P6" cm="1">
        <f t="array" ref="P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" spans="1:16" x14ac:dyDescent="0.25">
      <c r="A7" t="s">
        <v>1400</v>
      </c>
      <c r="B7" s="1">
        <v>46023</v>
      </c>
      <c r="C7" s="4">
        <v>0.91805555555555551</v>
      </c>
      <c r="D7" t="s">
        <v>48</v>
      </c>
      <c r="E7" t="s">
        <v>42</v>
      </c>
      <c r="F7" t="s">
        <v>579</v>
      </c>
      <c r="G7">
        <v>34</v>
      </c>
      <c r="H7" t="s">
        <v>849</v>
      </c>
      <c r="I7" t="s">
        <v>38</v>
      </c>
      <c r="J7">
        <v>74</v>
      </c>
      <c r="K7">
        <v>47</v>
      </c>
      <c r="L7">
        <v>2.8</v>
      </c>
      <c r="M7" t="s">
        <v>14</v>
      </c>
      <c r="N7" s="2">
        <v>2144.0700000000002</v>
      </c>
      <c r="O7" s="2" t="str">
        <f>IF(EHR_Export[[#This Row],[Arrival Time]]&lt;=TIME(7,0,0), "Night", IF(EHR_Export[[#This Row],[Arrival Time]]&lt;TIME(15,0,0), "Day", "Evening"))</f>
        <v>Evening</v>
      </c>
      <c r="P7" cm="1">
        <f t="array" ref="P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8" spans="1:16" x14ac:dyDescent="0.25">
      <c r="A8" t="s">
        <v>1622</v>
      </c>
      <c r="B8" s="1">
        <v>46023</v>
      </c>
      <c r="C8" s="4">
        <v>0.61736111111111114</v>
      </c>
      <c r="D8" t="s">
        <v>28</v>
      </c>
      <c r="E8" t="s">
        <v>23</v>
      </c>
      <c r="F8" t="s">
        <v>801</v>
      </c>
      <c r="G8">
        <v>38</v>
      </c>
      <c r="H8" t="s">
        <v>849</v>
      </c>
      <c r="I8" t="s">
        <v>25</v>
      </c>
      <c r="J8">
        <v>26</v>
      </c>
      <c r="K8">
        <v>56</v>
      </c>
      <c r="L8">
        <v>3.6</v>
      </c>
      <c r="M8" t="s">
        <v>14</v>
      </c>
      <c r="N8" s="2">
        <v>866.36</v>
      </c>
      <c r="O8" s="2" t="str">
        <f>IF(EHR_Export[[#This Row],[Arrival Time]]&lt;=TIME(7,0,0), "Night", IF(EHR_Export[[#This Row],[Arrival Time]]&lt;TIME(15,0,0), "Day", "Evening"))</f>
        <v>Day</v>
      </c>
      <c r="P8" cm="1">
        <f t="array" ref="P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9" spans="1:16" x14ac:dyDescent="0.25">
      <c r="A9" t="s">
        <v>972</v>
      </c>
      <c r="B9" s="1">
        <v>46024</v>
      </c>
      <c r="C9" s="4">
        <v>0.32916666666666666</v>
      </c>
      <c r="D9" t="s">
        <v>28</v>
      </c>
      <c r="E9" t="s">
        <v>23</v>
      </c>
      <c r="F9" t="s">
        <v>151</v>
      </c>
      <c r="G9">
        <v>76</v>
      </c>
      <c r="H9" t="s">
        <v>849</v>
      </c>
      <c r="I9" t="s">
        <v>34</v>
      </c>
      <c r="J9">
        <v>32</v>
      </c>
      <c r="K9">
        <v>55</v>
      </c>
      <c r="L9">
        <v>3.5</v>
      </c>
      <c r="M9" t="s">
        <v>14</v>
      </c>
      <c r="N9" s="2">
        <v>547.75</v>
      </c>
      <c r="O9" s="2" t="str">
        <f>IF(EHR_Export[[#This Row],[Arrival Time]]&lt;=TIME(7,0,0), "Night", IF(EHR_Export[[#This Row],[Arrival Time]]&lt;TIME(15,0,0), "Day", "Evening"))</f>
        <v>Day</v>
      </c>
      <c r="P9" cm="1">
        <f t="array" ref="P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0" spans="1:16" x14ac:dyDescent="0.25">
      <c r="A10" t="s">
        <v>993</v>
      </c>
      <c r="B10" s="1">
        <v>46024</v>
      </c>
      <c r="C10" s="4">
        <v>0.88124999999999998</v>
      </c>
      <c r="D10" t="s">
        <v>28</v>
      </c>
      <c r="E10" t="s">
        <v>23</v>
      </c>
      <c r="F10" t="s">
        <v>172</v>
      </c>
      <c r="G10">
        <v>49</v>
      </c>
      <c r="H10" t="s">
        <v>849</v>
      </c>
      <c r="I10" t="s">
        <v>25</v>
      </c>
      <c r="J10">
        <v>55</v>
      </c>
      <c r="K10">
        <v>49</v>
      </c>
      <c r="L10">
        <v>2.6</v>
      </c>
      <c r="M10" t="s">
        <v>14</v>
      </c>
      <c r="N10" s="2">
        <v>1249.8900000000001</v>
      </c>
      <c r="O10" s="2" t="str">
        <f>IF(EHR_Export[[#This Row],[Arrival Time]]&lt;=TIME(7,0,0), "Night", IF(EHR_Export[[#This Row],[Arrival Time]]&lt;TIME(15,0,0), "Day", "Evening"))</f>
        <v>Evening</v>
      </c>
      <c r="P10" cm="1">
        <f t="array" ref="P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1" spans="1:16" x14ac:dyDescent="0.25">
      <c r="A11" t="s">
        <v>1051</v>
      </c>
      <c r="B11" s="1">
        <v>46024</v>
      </c>
      <c r="C11" s="4">
        <v>0.7583333333333333</v>
      </c>
      <c r="D11" t="s">
        <v>21</v>
      </c>
      <c r="E11" t="s">
        <v>53</v>
      </c>
      <c r="F11" t="s">
        <v>230</v>
      </c>
      <c r="G11">
        <v>44</v>
      </c>
      <c r="H11" t="s">
        <v>849</v>
      </c>
      <c r="I11" t="s">
        <v>25</v>
      </c>
      <c r="J11">
        <v>45</v>
      </c>
      <c r="K11">
        <v>40</v>
      </c>
      <c r="L11">
        <v>3.5</v>
      </c>
      <c r="M11" t="s">
        <v>14</v>
      </c>
      <c r="N11" s="2">
        <v>833.24</v>
      </c>
      <c r="O11" s="2" t="str">
        <f>IF(EHR_Export[[#This Row],[Arrival Time]]&lt;=TIME(7,0,0), "Night", IF(EHR_Export[[#This Row],[Arrival Time]]&lt;TIME(15,0,0), "Day", "Evening"))</f>
        <v>Evening</v>
      </c>
      <c r="P11" cm="1">
        <f t="array" ref="P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2" spans="1:16" x14ac:dyDescent="0.25">
      <c r="A12" t="s">
        <v>1117</v>
      </c>
      <c r="B12" s="1">
        <v>46024</v>
      </c>
      <c r="C12" s="4">
        <v>0.3840277777777778</v>
      </c>
      <c r="D12" t="s">
        <v>58</v>
      </c>
      <c r="E12" t="s">
        <v>842</v>
      </c>
      <c r="F12" t="s">
        <v>296</v>
      </c>
      <c r="G12">
        <v>65</v>
      </c>
      <c r="H12" t="s">
        <v>849</v>
      </c>
      <c r="I12" t="s">
        <v>13</v>
      </c>
      <c r="J12">
        <v>51</v>
      </c>
      <c r="K12">
        <v>121</v>
      </c>
      <c r="L12">
        <v>2.9</v>
      </c>
      <c r="M12" t="s">
        <v>14</v>
      </c>
      <c r="N12" s="2">
        <v>3303.34</v>
      </c>
      <c r="O12" s="2" t="str">
        <f>IF(EHR_Export[[#This Row],[Arrival Time]]&lt;=TIME(7,0,0), "Night", IF(EHR_Export[[#This Row],[Arrival Time]]&lt;TIME(15,0,0), "Day", "Evening"))</f>
        <v>Day</v>
      </c>
      <c r="P12" cm="1">
        <f t="array" ref="P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13" spans="1:16" x14ac:dyDescent="0.25">
      <c r="A13" t="s">
        <v>1164</v>
      </c>
      <c r="B13" s="1">
        <v>46024</v>
      </c>
      <c r="C13" s="4">
        <v>0.20833333333333334</v>
      </c>
      <c r="D13" t="s">
        <v>126</v>
      </c>
      <c r="E13" t="s">
        <v>46</v>
      </c>
      <c r="F13" t="s">
        <v>343</v>
      </c>
      <c r="G13">
        <v>58</v>
      </c>
      <c r="H13" t="s">
        <v>847</v>
      </c>
      <c r="I13" t="s">
        <v>38</v>
      </c>
      <c r="J13">
        <v>39</v>
      </c>
      <c r="K13">
        <v>66</v>
      </c>
      <c r="M13" t="s">
        <v>14</v>
      </c>
      <c r="N13" s="2">
        <v>1345.12</v>
      </c>
      <c r="O13" s="2" t="str">
        <f>IF(EHR_Export[[#This Row],[Arrival Time]]&lt;=TIME(7,0,0), "Night", IF(EHR_Export[[#This Row],[Arrival Time]]&lt;TIME(15,0,0), "Day", "Evening"))</f>
        <v>Night</v>
      </c>
      <c r="P13" cm="1">
        <f t="array" ref="P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4" spans="1:16" x14ac:dyDescent="0.25">
      <c r="A14" t="s">
        <v>1392</v>
      </c>
      <c r="B14" s="1">
        <v>46024</v>
      </c>
      <c r="C14" s="4">
        <v>0.61041666666666672</v>
      </c>
      <c r="D14" t="s">
        <v>126</v>
      </c>
      <c r="E14" t="s">
        <v>46</v>
      </c>
      <c r="F14" t="s">
        <v>571</v>
      </c>
      <c r="G14">
        <v>35</v>
      </c>
      <c r="H14" t="s">
        <v>849</v>
      </c>
      <c r="I14" t="s">
        <v>34</v>
      </c>
      <c r="J14">
        <v>60</v>
      </c>
      <c r="K14">
        <v>10</v>
      </c>
      <c r="L14">
        <v>3.1</v>
      </c>
      <c r="M14" t="s">
        <v>14</v>
      </c>
      <c r="N14" s="2">
        <v>1277.9000000000001</v>
      </c>
      <c r="O14" s="2" t="str">
        <f>IF(EHR_Export[[#This Row],[Arrival Time]]&lt;=TIME(7,0,0), "Night", IF(EHR_Export[[#This Row],[Arrival Time]]&lt;TIME(15,0,0), "Day", "Evening"))</f>
        <v>Day</v>
      </c>
      <c r="P14" cm="1">
        <f t="array" ref="P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5" spans="1:16" x14ac:dyDescent="0.25">
      <c r="A15" t="s">
        <v>1536</v>
      </c>
      <c r="B15" s="1">
        <v>46024</v>
      </c>
      <c r="C15" s="4">
        <v>0.55486111111111114</v>
      </c>
      <c r="D15" t="s">
        <v>48</v>
      </c>
      <c r="E15" t="s">
        <v>42</v>
      </c>
      <c r="F15" t="s">
        <v>715</v>
      </c>
      <c r="G15">
        <v>66</v>
      </c>
      <c r="H15" t="s">
        <v>849</v>
      </c>
      <c r="I15" t="s">
        <v>13</v>
      </c>
      <c r="J15">
        <v>49</v>
      </c>
      <c r="K15">
        <v>10</v>
      </c>
      <c r="L15">
        <v>2.7</v>
      </c>
      <c r="M15" t="s">
        <v>14</v>
      </c>
      <c r="N15" s="2">
        <v>1577.08</v>
      </c>
      <c r="O15" s="2" t="str">
        <f>IF(EHR_Export[[#This Row],[Arrival Time]]&lt;=TIME(7,0,0), "Night", IF(EHR_Export[[#This Row],[Arrival Time]]&lt;TIME(15,0,0), "Day", "Evening"))</f>
        <v>Day</v>
      </c>
      <c r="P15" cm="1">
        <f t="array" ref="P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6" spans="1:16" x14ac:dyDescent="0.25">
      <c r="A16" t="s">
        <v>1621</v>
      </c>
      <c r="B16" s="1">
        <v>46024</v>
      </c>
      <c r="C16" s="4">
        <v>0.76458333333333328</v>
      </c>
      <c r="D16" t="s">
        <v>58</v>
      </c>
      <c r="E16" t="s">
        <v>842</v>
      </c>
      <c r="F16" t="s">
        <v>800</v>
      </c>
      <c r="G16">
        <v>36</v>
      </c>
      <c r="H16" t="s">
        <v>849</v>
      </c>
      <c r="I16" t="s">
        <v>13</v>
      </c>
      <c r="J16">
        <v>91</v>
      </c>
      <c r="K16">
        <v>86</v>
      </c>
      <c r="L16">
        <v>1.8</v>
      </c>
      <c r="M16" t="s">
        <v>14</v>
      </c>
      <c r="N16" s="2">
        <v>4325.3100000000004</v>
      </c>
      <c r="O16" s="2" t="str">
        <f>IF(EHR_Export[[#This Row],[Arrival Time]]&lt;=TIME(7,0,0), "Night", IF(EHR_Export[[#This Row],[Arrival Time]]&lt;TIME(15,0,0), "Day", "Evening"))</f>
        <v>Evening</v>
      </c>
      <c r="P16" cm="1">
        <f t="array" ref="P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7" spans="1:16" x14ac:dyDescent="0.25">
      <c r="A17" t="s">
        <v>912</v>
      </c>
      <c r="B17" s="1">
        <v>46025</v>
      </c>
      <c r="C17" s="4">
        <v>0.84166666666666667</v>
      </c>
      <c r="D17" t="s">
        <v>126</v>
      </c>
      <c r="E17" t="s">
        <v>46</v>
      </c>
      <c r="F17" t="s">
        <v>90</v>
      </c>
      <c r="G17">
        <v>28</v>
      </c>
      <c r="H17" t="s">
        <v>847</v>
      </c>
      <c r="I17" t="s">
        <v>38</v>
      </c>
      <c r="J17">
        <v>60</v>
      </c>
      <c r="K17">
        <v>55</v>
      </c>
      <c r="M17" t="s">
        <v>14</v>
      </c>
      <c r="N17" s="2">
        <v>2400.16</v>
      </c>
      <c r="O17" s="2" t="str">
        <f>IF(EHR_Export[[#This Row],[Arrival Time]]&lt;=TIME(7,0,0), "Night", IF(EHR_Export[[#This Row],[Arrival Time]]&lt;TIME(15,0,0), "Day", "Evening"))</f>
        <v>Evening</v>
      </c>
      <c r="P17" cm="1">
        <f t="array" ref="P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18" spans="1:16" x14ac:dyDescent="0.25">
      <c r="A18" t="s">
        <v>937</v>
      </c>
      <c r="B18" s="1">
        <v>46025</v>
      </c>
      <c r="C18" s="4">
        <v>0.51111111111111107</v>
      </c>
      <c r="D18" t="s">
        <v>58</v>
      </c>
      <c r="E18" t="s">
        <v>842</v>
      </c>
      <c r="F18" t="s">
        <v>115</v>
      </c>
      <c r="G18">
        <v>59</v>
      </c>
      <c r="H18" t="s">
        <v>849</v>
      </c>
      <c r="I18" t="s">
        <v>25</v>
      </c>
      <c r="J18">
        <v>75</v>
      </c>
      <c r="K18">
        <v>138</v>
      </c>
      <c r="L18">
        <v>2.6</v>
      </c>
      <c r="M18" t="s">
        <v>14</v>
      </c>
      <c r="N18" s="2">
        <v>3751.67</v>
      </c>
      <c r="O18" s="2" t="str">
        <f>IF(EHR_Export[[#This Row],[Arrival Time]]&lt;=TIME(7,0,0), "Night", IF(EHR_Export[[#This Row],[Arrival Time]]&lt;TIME(15,0,0), "Day", "Evening"))</f>
        <v>Day</v>
      </c>
      <c r="P18" cm="1">
        <f t="array" ref="P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19" spans="1:16" x14ac:dyDescent="0.25">
      <c r="A19" t="s">
        <v>1089</v>
      </c>
      <c r="B19" s="1">
        <v>46025</v>
      </c>
      <c r="C19" s="4">
        <v>0.71319444444444446</v>
      </c>
      <c r="D19" t="s">
        <v>58</v>
      </c>
      <c r="E19" t="s">
        <v>842</v>
      </c>
      <c r="F19" t="s">
        <v>268</v>
      </c>
      <c r="G19">
        <v>50</v>
      </c>
      <c r="H19" t="s">
        <v>847</v>
      </c>
      <c r="I19" t="s">
        <v>38</v>
      </c>
      <c r="J19">
        <v>110</v>
      </c>
      <c r="K19">
        <v>132</v>
      </c>
      <c r="L19">
        <v>2.1</v>
      </c>
      <c r="M19" t="s">
        <v>14</v>
      </c>
      <c r="N19" s="2">
        <v>2487.9299999999998</v>
      </c>
      <c r="O19" s="2" t="str">
        <f>IF(EHR_Export[[#This Row],[Arrival Time]]&lt;=TIME(7,0,0), "Night", IF(EHR_Export[[#This Row],[Arrival Time]]&lt;TIME(15,0,0), "Day", "Evening"))</f>
        <v>Evening</v>
      </c>
      <c r="P19" cm="1">
        <f t="array" ref="P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0" spans="1:16" x14ac:dyDescent="0.25">
      <c r="A20" t="s">
        <v>1109</v>
      </c>
      <c r="B20" s="1">
        <v>46025</v>
      </c>
      <c r="C20" s="4">
        <v>0.375</v>
      </c>
      <c r="D20" t="s">
        <v>21</v>
      </c>
      <c r="E20" t="s">
        <v>53</v>
      </c>
      <c r="F20" t="s">
        <v>288</v>
      </c>
      <c r="G20">
        <v>18</v>
      </c>
      <c r="H20" t="s">
        <v>849</v>
      </c>
      <c r="I20" t="s">
        <v>34</v>
      </c>
      <c r="J20">
        <v>33</v>
      </c>
      <c r="K20">
        <v>10</v>
      </c>
      <c r="L20">
        <v>4</v>
      </c>
      <c r="M20" t="s">
        <v>14</v>
      </c>
      <c r="N20" s="2">
        <v>478.65</v>
      </c>
      <c r="O20" s="2" t="str">
        <f>IF(EHR_Export[[#This Row],[Arrival Time]]&lt;=TIME(7,0,0), "Night", IF(EHR_Export[[#This Row],[Arrival Time]]&lt;TIME(15,0,0), "Day", "Evening"))</f>
        <v>Day</v>
      </c>
      <c r="P20" cm="1">
        <f t="array" ref="P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1" spans="1:16" x14ac:dyDescent="0.25">
      <c r="A21" t="s">
        <v>1122</v>
      </c>
      <c r="B21" s="1">
        <v>46025</v>
      </c>
      <c r="C21" s="4">
        <v>0.26180555555555557</v>
      </c>
      <c r="D21" t="s">
        <v>28</v>
      </c>
      <c r="E21" t="s">
        <v>23</v>
      </c>
      <c r="F21" t="s">
        <v>301</v>
      </c>
      <c r="G21">
        <v>40</v>
      </c>
      <c r="H21" t="s">
        <v>847</v>
      </c>
      <c r="I21" t="s">
        <v>13</v>
      </c>
      <c r="J21">
        <v>57</v>
      </c>
      <c r="K21">
        <v>31</v>
      </c>
      <c r="L21">
        <v>3.6</v>
      </c>
      <c r="M21" t="s">
        <v>14</v>
      </c>
      <c r="N21" s="2">
        <v>741.91</v>
      </c>
      <c r="O21" s="2" t="str">
        <f>IF(EHR_Export[[#This Row],[Arrival Time]]&lt;=TIME(7,0,0), "Night", IF(EHR_Export[[#This Row],[Arrival Time]]&lt;TIME(15,0,0), "Day", "Evening"))</f>
        <v>Night</v>
      </c>
      <c r="P21" cm="1">
        <f t="array" ref="P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2" spans="1:16" x14ac:dyDescent="0.25">
      <c r="A22" t="s">
        <v>1175</v>
      </c>
      <c r="B22" s="1">
        <v>46025</v>
      </c>
      <c r="C22" s="4">
        <v>0.47847222222222224</v>
      </c>
      <c r="D22" t="s">
        <v>28</v>
      </c>
      <c r="E22" t="s">
        <v>23</v>
      </c>
      <c r="F22" t="s">
        <v>354</v>
      </c>
      <c r="G22">
        <v>67</v>
      </c>
      <c r="H22" t="s">
        <v>849</v>
      </c>
      <c r="I22" t="s">
        <v>25</v>
      </c>
      <c r="J22">
        <v>40</v>
      </c>
      <c r="K22">
        <v>25</v>
      </c>
      <c r="L22">
        <v>3.9</v>
      </c>
      <c r="M22" t="s">
        <v>14</v>
      </c>
      <c r="N22" s="2">
        <v>697.8</v>
      </c>
      <c r="O22" s="2" t="str">
        <f>IF(EHR_Export[[#This Row],[Arrival Time]]&lt;=TIME(7,0,0), "Night", IF(EHR_Export[[#This Row],[Arrival Time]]&lt;TIME(15,0,0), "Day", "Evening"))</f>
        <v>Day</v>
      </c>
      <c r="P22" cm="1">
        <f t="array" ref="P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3" spans="1:16" x14ac:dyDescent="0.25">
      <c r="A23" t="s">
        <v>1248</v>
      </c>
      <c r="B23" s="1">
        <v>46025</v>
      </c>
      <c r="C23" s="4">
        <v>0.77638888888888891</v>
      </c>
      <c r="D23" t="s">
        <v>48</v>
      </c>
      <c r="E23" t="s">
        <v>42</v>
      </c>
      <c r="F23" t="s">
        <v>427</v>
      </c>
      <c r="G23">
        <v>21</v>
      </c>
      <c r="H23" t="s">
        <v>849</v>
      </c>
      <c r="I23" t="s">
        <v>25</v>
      </c>
      <c r="J23">
        <v>78</v>
      </c>
      <c r="K23">
        <v>35</v>
      </c>
      <c r="L23">
        <v>2.4</v>
      </c>
      <c r="M23" t="s">
        <v>14</v>
      </c>
      <c r="N23" s="2">
        <v>1929.89</v>
      </c>
      <c r="O23" s="2" t="str">
        <f>IF(EHR_Export[[#This Row],[Arrival Time]]&lt;=TIME(7,0,0), "Night", IF(EHR_Export[[#This Row],[Arrival Time]]&lt;TIME(15,0,0), "Day", "Evening"))</f>
        <v>Evening</v>
      </c>
      <c r="P23" cm="1">
        <f t="array" ref="P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4" spans="1:16" x14ac:dyDescent="0.25">
      <c r="A24" t="s">
        <v>1336</v>
      </c>
      <c r="B24" s="1">
        <v>46025</v>
      </c>
      <c r="C24" s="4">
        <v>0.93888888888888888</v>
      </c>
      <c r="D24" t="s">
        <v>28</v>
      </c>
      <c r="E24" t="s">
        <v>23</v>
      </c>
      <c r="F24" t="s">
        <v>515</v>
      </c>
      <c r="G24">
        <v>51</v>
      </c>
      <c r="H24" t="s">
        <v>847</v>
      </c>
      <c r="I24" t="s">
        <v>38</v>
      </c>
      <c r="J24">
        <v>78</v>
      </c>
      <c r="K24">
        <v>12</v>
      </c>
      <c r="L24">
        <v>3.4</v>
      </c>
      <c r="M24" t="s">
        <v>14</v>
      </c>
      <c r="N24" s="2">
        <v>423.08</v>
      </c>
      <c r="O24" s="2" t="str">
        <f>IF(EHR_Export[[#This Row],[Arrival Time]]&lt;=TIME(7,0,0), "Night", IF(EHR_Export[[#This Row],[Arrival Time]]&lt;TIME(15,0,0), "Day", "Evening"))</f>
        <v>Evening</v>
      </c>
      <c r="P24" cm="1">
        <f t="array" ref="P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5" spans="1:16" x14ac:dyDescent="0.25">
      <c r="A25" t="s">
        <v>1435</v>
      </c>
      <c r="B25" s="1">
        <v>46025</v>
      </c>
      <c r="C25" s="4">
        <v>0.84097222222222223</v>
      </c>
      <c r="D25" t="s">
        <v>58</v>
      </c>
      <c r="E25" t="s">
        <v>842</v>
      </c>
      <c r="F25" t="s">
        <v>614</v>
      </c>
      <c r="G25">
        <v>70</v>
      </c>
      <c r="H25" t="s">
        <v>847</v>
      </c>
      <c r="I25" t="s">
        <v>38</v>
      </c>
      <c r="J25">
        <v>108</v>
      </c>
      <c r="K25">
        <v>54</v>
      </c>
      <c r="L25">
        <v>2</v>
      </c>
      <c r="M25" t="s">
        <v>14</v>
      </c>
      <c r="N25" s="2">
        <v>1472.45</v>
      </c>
      <c r="O25" s="2" t="str">
        <f>IF(EHR_Export[[#This Row],[Arrival Time]]&lt;=TIME(7,0,0), "Night", IF(EHR_Export[[#This Row],[Arrival Time]]&lt;TIME(15,0,0), "Day", "Evening"))</f>
        <v>Evening</v>
      </c>
      <c r="P25" cm="1">
        <f t="array" ref="P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6" spans="1:16" x14ac:dyDescent="0.25">
      <c r="A26" t="s">
        <v>1527</v>
      </c>
      <c r="B26" s="1">
        <v>46025</v>
      </c>
      <c r="C26" s="4">
        <v>0.82291666666666663</v>
      </c>
      <c r="D26" t="s">
        <v>28</v>
      </c>
      <c r="E26" t="s">
        <v>23</v>
      </c>
      <c r="F26" t="s">
        <v>706</v>
      </c>
      <c r="G26">
        <v>31</v>
      </c>
      <c r="H26" t="s">
        <v>847</v>
      </c>
      <c r="I26" t="s">
        <v>25</v>
      </c>
      <c r="J26">
        <v>75</v>
      </c>
      <c r="K26">
        <v>45</v>
      </c>
      <c r="L26">
        <v>3.3</v>
      </c>
      <c r="M26" t="s">
        <v>14</v>
      </c>
      <c r="N26" s="2">
        <v>909.27</v>
      </c>
      <c r="O26" s="2" t="str">
        <f>IF(EHR_Export[[#This Row],[Arrival Time]]&lt;=TIME(7,0,0), "Night", IF(EHR_Export[[#This Row],[Arrival Time]]&lt;TIME(15,0,0), "Day", "Evening"))</f>
        <v>Evening</v>
      </c>
      <c r="P26" cm="1">
        <f t="array" ref="P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7" spans="1:16" x14ac:dyDescent="0.25">
      <c r="A27" t="s">
        <v>1564</v>
      </c>
      <c r="B27" s="1">
        <v>46025</v>
      </c>
      <c r="C27" s="4">
        <v>0.76388888888888884</v>
      </c>
      <c r="D27" t="s">
        <v>28</v>
      </c>
      <c r="E27" t="s">
        <v>23</v>
      </c>
      <c r="F27" t="s">
        <v>743</v>
      </c>
      <c r="G27">
        <v>94</v>
      </c>
      <c r="H27" t="s">
        <v>847</v>
      </c>
      <c r="I27" t="s">
        <v>25</v>
      </c>
      <c r="J27">
        <v>81</v>
      </c>
      <c r="K27">
        <v>33</v>
      </c>
      <c r="L27">
        <v>3</v>
      </c>
      <c r="M27" t="s">
        <v>14</v>
      </c>
      <c r="N27" s="2">
        <v>397.15</v>
      </c>
      <c r="O27" s="2" t="str">
        <f>IF(EHR_Export[[#This Row],[Arrival Time]]&lt;=TIME(7,0,0), "Night", IF(EHR_Export[[#This Row],[Arrival Time]]&lt;TIME(15,0,0), "Day", "Evening"))</f>
        <v>Evening</v>
      </c>
      <c r="P27" cm="1">
        <f t="array" ref="P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8" spans="1:16" x14ac:dyDescent="0.25">
      <c r="A28" t="s">
        <v>1578</v>
      </c>
      <c r="B28" s="1">
        <v>46025</v>
      </c>
      <c r="C28" s="4">
        <v>0.41736111111111113</v>
      </c>
      <c r="D28" t="s">
        <v>126</v>
      </c>
      <c r="E28" t="s">
        <v>46</v>
      </c>
      <c r="F28" t="s">
        <v>757</v>
      </c>
      <c r="G28">
        <v>51</v>
      </c>
      <c r="H28" t="s">
        <v>849</v>
      </c>
      <c r="I28" t="s">
        <v>38</v>
      </c>
      <c r="J28">
        <v>46</v>
      </c>
      <c r="K28">
        <v>74</v>
      </c>
      <c r="M28" t="s">
        <v>18</v>
      </c>
      <c r="N28" s="2">
        <v>1407.57</v>
      </c>
      <c r="O28" s="2" t="str">
        <f>IF(EHR_Export[[#This Row],[Arrival Time]]&lt;=TIME(7,0,0), "Night", IF(EHR_Export[[#This Row],[Arrival Time]]&lt;TIME(15,0,0), "Day", "Evening"))</f>
        <v>Day</v>
      </c>
      <c r="P28" cm="1">
        <f t="array" ref="P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9" spans="1:16" x14ac:dyDescent="0.25">
      <c r="A29" t="s">
        <v>1626</v>
      </c>
      <c r="B29" s="1">
        <v>46025</v>
      </c>
      <c r="C29" s="4">
        <v>0.1076388888888889</v>
      </c>
      <c r="D29" t="s">
        <v>126</v>
      </c>
      <c r="E29" t="s">
        <v>46</v>
      </c>
      <c r="F29" t="s">
        <v>805</v>
      </c>
      <c r="G29">
        <v>37</v>
      </c>
      <c r="H29" t="s">
        <v>849</v>
      </c>
      <c r="I29" t="s">
        <v>34</v>
      </c>
      <c r="J29">
        <v>52</v>
      </c>
      <c r="K29">
        <v>57</v>
      </c>
      <c r="L29">
        <v>3.6</v>
      </c>
      <c r="M29" t="s">
        <v>14</v>
      </c>
      <c r="N29" s="2">
        <v>3000.01</v>
      </c>
      <c r="O29" s="2" t="str">
        <f>IF(EHR_Export[[#This Row],[Arrival Time]]&lt;=TIME(7,0,0), "Night", IF(EHR_Export[[#This Row],[Arrival Time]]&lt;TIME(15,0,0), "Day", "Evening"))</f>
        <v>Night</v>
      </c>
      <c r="P29" cm="1">
        <f t="array" ref="P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0" spans="1:16" x14ac:dyDescent="0.25">
      <c r="A30" t="s">
        <v>1628</v>
      </c>
      <c r="B30" s="1">
        <v>46025</v>
      </c>
      <c r="C30" s="4">
        <v>0.17083333333333334</v>
      </c>
      <c r="D30" t="s">
        <v>28</v>
      </c>
      <c r="E30" t="s">
        <v>23</v>
      </c>
      <c r="F30" t="s">
        <v>807</v>
      </c>
      <c r="G30">
        <v>41</v>
      </c>
      <c r="H30" t="s">
        <v>849</v>
      </c>
      <c r="I30" t="s">
        <v>34</v>
      </c>
      <c r="J30">
        <v>58</v>
      </c>
      <c r="K30">
        <v>10</v>
      </c>
      <c r="L30">
        <v>2.7</v>
      </c>
      <c r="M30" t="s">
        <v>14</v>
      </c>
      <c r="N30" s="2">
        <v>952.15</v>
      </c>
      <c r="O30" s="2" t="str">
        <f>IF(EHR_Export[[#This Row],[Arrival Time]]&lt;=TIME(7,0,0), "Night", IF(EHR_Export[[#This Row],[Arrival Time]]&lt;TIME(15,0,0), "Day", "Evening"))</f>
        <v>Night</v>
      </c>
      <c r="P30" cm="1">
        <f t="array" ref="P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1" spans="1:16" x14ac:dyDescent="0.25">
      <c r="A31" t="s">
        <v>888</v>
      </c>
      <c r="B31" s="1">
        <v>46026</v>
      </c>
      <c r="C31" s="4">
        <v>0.32847222222222222</v>
      </c>
      <c r="D31" t="s">
        <v>58</v>
      </c>
      <c r="E31" t="s">
        <v>842</v>
      </c>
      <c r="F31" t="s">
        <v>66</v>
      </c>
      <c r="G31">
        <v>30</v>
      </c>
      <c r="H31" t="s">
        <v>847</v>
      </c>
      <c r="I31" t="s">
        <v>34</v>
      </c>
      <c r="J31">
        <v>80</v>
      </c>
      <c r="K31">
        <v>121</v>
      </c>
      <c r="L31">
        <v>4.4000000000000004</v>
      </c>
      <c r="M31" t="s">
        <v>14</v>
      </c>
      <c r="N31" s="2">
        <v>3403.65</v>
      </c>
      <c r="O31" s="2" t="str">
        <f>IF(EHR_Export[[#This Row],[Arrival Time]]&lt;=TIME(7,0,0), "Night", IF(EHR_Export[[#This Row],[Arrival Time]]&lt;TIME(15,0,0), "Day", "Evening"))</f>
        <v>Day</v>
      </c>
      <c r="P31" cm="1">
        <f t="array" ref="P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32" spans="1:16" x14ac:dyDescent="0.25">
      <c r="A32" t="s">
        <v>889</v>
      </c>
      <c r="B32" s="1">
        <v>46026</v>
      </c>
      <c r="C32" s="4">
        <v>0.37847222222222221</v>
      </c>
      <c r="D32" t="s">
        <v>28</v>
      </c>
      <c r="E32" t="s">
        <v>23</v>
      </c>
      <c r="F32" t="s">
        <v>67</v>
      </c>
      <c r="G32">
        <v>6</v>
      </c>
      <c r="H32" t="s">
        <v>847</v>
      </c>
      <c r="I32" t="s">
        <v>38</v>
      </c>
      <c r="J32">
        <v>38</v>
      </c>
      <c r="K32">
        <v>54</v>
      </c>
      <c r="L32">
        <v>4.5</v>
      </c>
      <c r="M32" t="s">
        <v>14</v>
      </c>
      <c r="N32" s="2">
        <v>1177.96</v>
      </c>
      <c r="O32" s="2" t="str">
        <f>IF(EHR_Export[[#This Row],[Arrival Time]]&lt;=TIME(7,0,0), "Night", IF(EHR_Export[[#This Row],[Arrival Time]]&lt;TIME(15,0,0), "Day", "Evening"))</f>
        <v>Day</v>
      </c>
      <c r="P32" cm="1">
        <f t="array" ref="P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3" spans="1:16" x14ac:dyDescent="0.25">
      <c r="A33" t="s">
        <v>971</v>
      </c>
      <c r="B33" s="1">
        <v>46026</v>
      </c>
      <c r="C33" s="4">
        <v>0.75972222222222219</v>
      </c>
      <c r="D33" t="s">
        <v>126</v>
      </c>
      <c r="E33" t="s">
        <v>46</v>
      </c>
      <c r="F33" t="s">
        <v>150</v>
      </c>
      <c r="G33">
        <v>59</v>
      </c>
      <c r="H33" t="s">
        <v>849</v>
      </c>
      <c r="I33" t="s">
        <v>25</v>
      </c>
      <c r="J33">
        <v>48</v>
      </c>
      <c r="K33">
        <v>55</v>
      </c>
      <c r="L33">
        <v>3.2</v>
      </c>
      <c r="M33" t="s">
        <v>14</v>
      </c>
      <c r="N33" s="2">
        <v>1097.6300000000001</v>
      </c>
      <c r="O33" s="2" t="str">
        <f>IF(EHR_Export[[#This Row],[Arrival Time]]&lt;=TIME(7,0,0), "Night", IF(EHR_Export[[#This Row],[Arrival Time]]&lt;TIME(15,0,0), "Day", "Evening"))</f>
        <v>Evening</v>
      </c>
      <c r="P33" cm="1">
        <f t="array" ref="P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34" spans="1:16" x14ac:dyDescent="0.25">
      <c r="A34" t="s">
        <v>1050</v>
      </c>
      <c r="B34" s="1">
        <v>46026</v>
      </c>
      <c r="C34" s="4">
        <v>0.56319444444444444</v>
      </c>
      <c r="D34" t="s">
        <v>28</v>
      </c>
      <c r="E34" t="s">
        <v>23</v>
      </c>
      <c r="F34" t="s">
        <v>229</v>
      </c>
      <c r="G34">
        <v>25</v>
      </c>
      <c r="H34" t="s">
        <v>849</v>
      </c>
      <c r="I34" t="s">
        <v>38</v>
      </c>
      <c r="J34">
        <v>37</v>
      </c>
      <c r="K34">
        <v>51</v>
      </c>
      <c r="L34">
        <v>4</v>
      </c>
      <c r="M34" t="s">
        <v>14</v>
      </c>
      <c r="N34" s="2">
        <v>797.29</v>
      </c>
      <c r="O34" s="2" t="str">
        <f>IF(EHR_Export[[#This Row],[Arrival Time]]&lt;=TIME(7,0,0), "Night", IF(EHR_Export[[#This Row],[Arrival Time]]&lt;TIME(15,0,0), "Day", "Evening"))</f>
        <v>Day</v>
      </c>
      <c r="P34" cm="1">
        <f t="array" ref="P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5" spans="1:16" x14ac:dyDescent="0.25">
      <c r="A35" t="s">
        <v>1057</v>
      </c>
      <c r="B35" s="1">
        <v>46026</v>
      </c>
      <c r="C35" s="4">
        <v>0.47430555555555554</v>
      </c>
      <c r="D35" t="s">
        <v>126</v>
      </c>
      <c r="E35" t="s">
        <v>46</v>
      </c>
      <c r="F35" t="s">
        <v>236</v>
      </c>
      <c r="G35">
        <v>44</v>
      </c>
      <c r="H35" t="s">
        <v>847</v>
      </c>
      <c r="I35" t="s">
        <v>13</v>
      </c>
      <c r="J35">
        <v>33</v>
      </c>
      <c r="K35">
        <v>10</v>
      </c>
      <c r="L35">
        <v>3.6</v>
      </c>
      <c r="M35" t="s">
        <v>14</v>
      </c>
      <c r="N35" s="2">
        <v>2153.38</v>
      </c>
      <c r="O35" s="2" t="str">
        <f>IF(EHR_Export[[#This Row],[Arrival Time]]&lt;=TIME(7,0,0), "Night", IF(EHR_Export[[#This Row],[Arrival Time]]&lt;TIME(15,0,0), "Day", "Evening"))</f>
        <v>Day</v>
      </c>
      <c r="P35" cm="1">
        <f t="array" ref="P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6" spans="1:16" x14ac:dyDescent="0.25">
      <c r="A36" t="s">
        <v>1142</v>
      </c>
      <c r="B36" s="1">
        <v>46026</v>
      </c>
      <c r="C36" s="4">
        <v>0.59375</v>
      </c>
      <c r="D36" t="s">
        <v>28</v>
      </c>
      <c r="E36" t="s">
        <v>23</v>
      </c>
      <c r="F36" t="s">
        <v>321</v>
      </c>
      <c r="G36">
        <v>27</v>
      </c>
      <c r="H36" t="s">
        <v>847</v>
      </c>
      <c r="I36" t="s">
        <v>25</v>
      </c>
      <c r="J36">
        <v>67</v>
      </c>
      <c r="K36">
        <v>32</v>
      </c>
      <c r="L36">
        <v>3.4</v>
      </c>
      <c r="M36" t="s">
        <v>14</v>
      </c>
      <c r="N36" s="2">
        <v>1067.52</v>
      </c>
      <c r="O36" s="2" t="str">
        <f>IF(EHR_Export[[#This Row],[Arrival Time]]&lt;=TIME(7,0,0), "Night", IF(EHR_Export[[#This Row],[Arrival Time]]&lt;TIME(15,0,0), "Day", "Evening"))</f>
        <v>Day</v>
      </c>
      <c r="P36" cm="1">
        <f t="array" ref="P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7" spans="1:16" x14ac:dyDescent="0.25">
      <c r="A37" t="s">
        <v>1167</v>
      </c>
      <c r="B37" s="1">
        <v>46026</v>
      </c>
      <c r="C37" s="4">
        <v>0.46319444444444446</v>
      </c>
      <c r="D37" t="s">
        <v>28</v>
      </c>
      <c r="E37" t="s">
        <v>23</v>
      </c>
      <c r="F37" t="s">
        <v>346</v>
      </c>
      <c r="G37">
        <v>43</v>
      </c>
      <c r="H37" t="s">
        <v>849</v>
      </c>
      <c r="I37" t="s">
        <v>38</v>
      </c>
      <c r="J37">
        <v>70</v>
      </c>
      <c r="K37">
        <v>58</v>
      </c>
      <c r="M37" t="s">
        <v>18</v>
      </c>
      <c r="N37" s="2">
        <v>617.69000000000005</v>
      </c>
      <c r="O37" s="2" t="str">
        <f>IF(EHR_Export[[#This Row],[Arrival Time]]&lt;=TIME(7,0,0), "Night", IF(EHR_Export[[#This Row],[Arrival Time]]&lt;TIME(15,0,0), "Day", "Evening"))</f>
        <v>Day</v>
      </c>
      <c r="P37" cm="1">
        <f t="array" ref="P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8" spans="1:16" x14ac:dyDescent="0.25">
      <c r="A38" t="s">
        <v>1276</v>
      </c>
      <c r="B38" s="1">
        <v>46026</v>
      </c>
      <c r="C38" s="4">
        <v>0.82708333333333328</v>
      </c>
      <c r="D38" t="s">
        <v>48</v>
      </c>
      <c r="E38" t="s">
        <v>42</v>
      </c>
      <c r="F38" t="s">
        <v>455</v>
      </c>
      <c r="G38">
        <v>77</v>
      </c>
      <c r="H38" t="s">
        <v>847</v>
      </c>
      <c r="I38" t="s">
        <v>38</v>
      </c>
      <c r="J38">
        <v>60</v>
      </c>
      <c r="K38">
        <v>18</v>
      </c>
      <c r="L38">
        <v>3</v>
      </c>
      <c r="M38" t="s">
        <v>18</v>
      </c>
      <c r="N38" s="2">
        <v>973.93</v>
      </c>
      <c r="O38" s="2" t="str">
        <f>IF(EHR_Export[[#This Row],[Arrival Time]]&lt;=TIME(7,0,0), "Night", IF(EHR_Export[[#This Row],[Arrival Time]]&lt;TIME(15,0,0), "Day", "Evening"))</f>
        <v>Evening</v>
      </c>
      <c r="P38" cm="1">
        <f t="array" ref="P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9" spans="1:16" x14ac:dyDescent="0.25">
      <c r="A39" t="s">
        <v>1338</v>
      </c>
      <c r="B39" s="1">
        <v>46026</v>
      </c>
      <c r="C39" s="4">
        <v>0.10347222222222222</v>
      </c>
      <c r="D39" t="s">
        <v>58</v>
      </c>
      <c r="E39" t="s">
        <v>842</v>
      </c>
      <c r="F39" t="s">
        <v>517</v>
      </c>
      <c r="G39">
        <v>69</v>
      </c>
      <c r="H39" t="s">
        <v>847</v>
      </c>
      <c r="I39" t="s">
        <v>13</v>
      </c>
      <c r="J39">
        <v>84</v>
      </c>
      <c r="K39">
        <v>85</v>
      </c>
      <c r="L39">
        <v>3</v>
      </c>
      <c r="M39" t="s">
        <v>14</v>
      </c>
      <c r="N39" s="2">
        <v>3745.29</v>
      </c>
      <c r="O39" s="2" t="str">
        <f>IF(EHR_Export[[#This Row],[Arrival Time]]&lt;=TIME(7,0,0), "Night", IF(EHR_Export[[#This Row],[Arrival Time]]&lt;TIME(15,0,0), "Day", "Evening"))</f>
        <v>Night</v>
      </c>
      <c r="P39" cm="1">
        <f t="array" ref="P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40" spans="1:16" x14ac:dyDescent="0.25">
      <c r="A40" t="s">
        <v>1366</v>
      </c>
      <c r="B40" s="1">
        <v>46026</v>
      </c>
      <c r="C40" s="4">
        <v>0.47222222222222221</v>
      </c>
      <c r="D40" t="s">
        <v>28</v>
      </c>
      <c r="E40" t="s">
        <v>23</v>
      </c>
      <c r="F40" t="s">
        <v>545</v>
      </c>
      <c r="G40">
        <v>46</v>
      </c>
      <c r="H40" t="s">
        <v>847</v>
      </c>
      <c r="I40" t="s">
        <v>34</v>
      </c>
      <c r="J40">
        <v>81</v>
      </c>
      <c r="K40">
        <v>71</v>
      </c>
      <c r="L40">
        <v>2.8</v>
      </c>
      <c r="M40" t="s">
        <v>14</v>
      </c>
      <c r="N40" s="2">
        <v>404.72</v>
      </c>
      <c r="O40" s="2" t="str">
        <f>IF(EHR_Export[[#This Row],[Arrival Time]]&lt;=TIME(7,0,0), "Night", IF(EHR_Export[[#This Row],[Arrival Time]]&lt;TIME(15,0,0), "Day", "Evening"))</f>
        <v>Day</v>
      </c>
      <c r="P40" cm="1">
        <f t="array" ref="P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1" spans="1:16" x14ac:dyDescent="0.25">
      <c r="A41" t="s">
        <v>1423</v>
      </c>
      <c r="B41" s="1">
        <v>46026</v>
      </c>
      <c r="C41" s="4">
        <v>0.51041666666666663</v>
      </c>
      <c r="D41" t="s">
        <v>28</v>
      </c>
      <c r="E41" t="s">
        <v>23</v>
      </c>
      <c r="F41" t="s">
        <v>602</v>
      </c>
      <c r="G41">
        <v>34</v>
      </c>
      <c r="H41" t="s">
        <v>849</v>
      </c>
      <c r="I41" t="s">
        <v>34</v>
      </c>
      <c r="J41">
        <v>66</v>
      </c>
      <c r="K41">
        <v>35</v>
      </c>
      <c r="L41">
        <v>3</v>
      </c>
      <c r="M41" t="s">
        <v>14</v>
      </c>
      <c r="N41" s="2">
        <v>461.6</v>
      </c>
      <c r="O41" s="2" t="str">
        <f>IF(EHR_Export[[#This Row],[Arrival Time]]&lt;=TIME(7,0,0), "Night", IF(EHR_Export[[#This Row],[Arrival Time]]&lt;TIME(15,0,0), "Day", "Evening"))</f>
        <v>Day</v>
      </c>
      <c r="P41" cm="1">
        <f t="array" ref="P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2" spans="1:16" x14ac:dyDescent="0.25">
      <c r="A42" t="s">
        <v>1167</v>
      </c>
      <c r="B42" s="1">
        <v>46026</v>
      </c>
      <c r="C42" s="4">
        <v>0.46319444444444446</v>
      </c>
      <c r="D42" t="s">
        <v>28</v>
      </c>
      <c r="E42" t="s">
        <v>23</v>
      </c>
      <c r="F42" t="s">
        <v>346</v>
      </c>
      <c r="G42">
        <v>43</v>
      </c>
      <c r="H42" t="s">
        <v>849</v>
      </c>
      <c r="I42" t="s">
        <v>38</v>
      </c>
      <c r="J42">
        <v>70</v>
      </c>
      <c r="K42">
        <v>58</v>
      </c>
      <c r="M42" t="s">
        <v>18</v>
      </c>
      <c r="N42" s="2">
        <v>617.69000000000005</v>
      </c>
      <c r="O42" s="2" t="str">
        <f>IF(EHR_Export[[#This Row],[Arrival Time]]&lt;=TIME(7,0,0), "Night", IF(EHR_Export[[#This Row],[Arrival Time]]&lt;TIME(15,0,0), "Day", "Evening"))</f>
        <v>Day</v>
      </c>
      <c r="P42" cm="1">
        <f t="array" ref="P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3" spans="1:16" x14ac:dyDescent="0.25">
      <c r="A43" t="s">
        <v>1475</v>
      </c>
      <c r="B43" s="1">
        <v>46026</v>
      </c>
      <c r="C43" s="4">
        <v>0.34166666666666667</v>
      </c>
      <c r="D43" t="s">
        <v>126</v>
      </c>
      <c r="E43" t="s">
        <v>46</v>
      </c>
      <c r="F43" t="s">
        <v>654</v>
      </c>
      <c r="G43">
        <v>44</v>
      </c>
      <c r="H43" t="s">
        <v>849</v>
      </c>
      <c r="I43" t="s">
        <v>13</v>
      </c>
      <c r="J43">
        <v>40</v>
      </c>
      <c r="K43">
        <v>47</v>
      </c>
      <c r="L43">
        <v>3.7</v>
      </c>
      <c r="M43" t="s">
        <v>14</v>
      </c>
      <c r="N43" s="2">
        <v>2147.11</v>
      </c>
      <c r="O43" s="2" t="str">
        <f>IF(EHR_Export[[#This Row],[Arrival Time]]&lt;=TIME(7,0,0), "Night", IF(EHR_Export[[#This Row],[Arrival Time]]&lt;TIME(15,0,0), "Day", "Evening"))</f>
        <v>Day</v>
      </c>
      <c r="P43" cm="1">
        <f t="array" ref="P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4" spans="1:16" x14ac:dyDescent="0.25">
      <c r="A44" t="s">
        <v>904</v>
      </c>
      <c r="B44" s="1">
        <v>46027</v>
      </c>
      <c r="C44" s="4">
        <v>0.7</v>
      </c>
      <c r="D44" t="s">
        <v>21</v>
      </c>
      <c r="E44" t="s">
        <v>53</v>
      </c>
      <c r="F44" t="s">
        <v>82</v>
      </c>
      <c r="G44">
        <v>60</v>
      </c>
      <c r="H44" t="s">
        <v>849</v>
      </c>
      <c r="I44" t="s">
        <v>25</v>
      </c>
      <c r="J44">
        <v>57</v>
      </c>
      <c r="K44">
        <v>40</v>
      </c>
      <c r="L44">
        <v>3.4</v>
      </c>
      <c r="M44" t="s">
        <v>14</v>
      </c>
      <c r="N44" s="2">
        <v>969.59</v>
      </c>
      <c r="O44" s="2" t="str">
        <f>IF(EHR_Export[[#This Row],[Arrival Time]]&lt;=TIME(7,0,0), "Night", IF(EHR_Export[[#This Row],[Arrival Time]]&lt;TIME(15,0,0), "Day", "Evening"))</f>
        <v>Evening</v>
      </c>
      <c r="P44" cm="1">
        <f t="array" ref="P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5" spans="1:16" x14ac:dyDescent="0.25">
      <c r="A45" t="s">
        <v>1065</v>
      </c>
      <c r="B45" s="1">
        <v>46027</v>
      </c>
      <c r="C45" s="4">
        <v>1.2500000000000001E-2</v>
      </c>
      <c r="D45" t="s">
        <v>48</v>
      </c>
      <c r="E45" t="s">
        <v>42</v>
      </c>
      <c r="F45" t="s">
        <v>244</v>
      </c>
      <c r="G45">
        <v>54</v>
      </c>
      <c r="H45" t="s">
        <v>849</v>
      </c>
      <c r="I45" t="s">
        <v>25</v>
      </c>
      <c r="J45">
        <v>62</v>
      </c>
      <c r="K45">
        <v>36</v>
      </c>
      <c r="L45">
        <v>3.6</v>
      </c>
      <c r="M45" t="s">
        <v>14</v>
      </c>
      <c r="N45" s="2">
        <v>1254.19</v>
      </c>
      <c r="O45" s="2" t="str">
        <f>IF(EHR_Export[[#This Row],[Arrival Time]]&lt;=TIME(7,0,0), "Night", IF(EHR_Export[[#This Row],[Arrival Time]]&lt;TIME(15,0,0), "Day", "Evening"))</f>
        <v>Night</v>
      </c>
      <c r="P45" cm="1">
        <f t="array" ref="P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6" spans="1:16" x14ac:dyDescent="0.25">
      <c r="A46" t="s">
        <v>1111</v>
      </c>
      <c r="B46" s="1">
        <v>46027</v>
      </c>
      <c r="C46" s="4">
        <v>0.40347222222222223</v>
      </c>
      <c r="D46" t="s">
        <v>28</v>
      </c>
      <c r="E46" t="s">
        <v>23</v>
      </c>
      <c r="F46" t="s">
        <v>290</v>
      </c>
      <c r="G46">
        <v>67</v>
      </c>
      <c r="H46" t="s">
        <v>849</v>
      </c>
      <c r="I46" t="s">
        <v>34</v>
      </c>
      <c r="J46">
        <v>37</v>
      </c>
      <c r="K46">
        <v>23</v>
      </c>
      <c r="L46">
        <v>3.4</v>
      </c>
      <c r="M46" t="s">
        <v>18</v>
      </c>
      <c r="N46" s="2">
        <v>985.85</v>
      </c>
      <c r="O46" s="2" t="str">
        <f>IF(EHR_Export[[#This Row],[Arrival Time]]&lt;=TIME(7,0,0), "Night", IF(EHR_Export[[#This Row],[Arrival Time]]&lt;TIME(15,0,0), "Day", "Evening"))</f>
        <v>Day</v>
      </c>
      <c r="P46" cm="1">
        <f t="array" ref="P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7" spans="1:16" x14ac:dyDescent="0.25">
      <c r="A47" t="s">
        <v>1319</v>
      </c>
      <c r="B47" s="1">
        <v>46027</v>
      </c>
      <c r="C47" s="4">
        <v>0.27291666666666664</v>
      </c>
      <c r="D47" t="s">
        <v>48</v>
      </c>
      <c r="E47" t="s">
        <v>42</v>
      </c>
      <c r="F47" t="s">
        <v>498</v>
      </c>
      <c r="G47">
        <v>53</v>
      </c>
      <c r="H47" t="s">
        <v>847</v>
      </c>
      <c r="I47" t="s">
        <v>38</v>
      </c>
      <c r="J47">
        <v>53</v>
      </c>
      <c r="K47">
        <v>66</v>
      </c>
      <c r="L47">
        <v>4</v>
      </c>
      <c r="M47" t="s">
        <v>14</v>
      </c>
      <c r="N47" s="2">
        <v>1520.87</v>
      </c>
      <c r="O47" s="2" t="str">
        <f>IF(EHR_Export[[#This Row],[Arrival Time]]&lt;=TIME(7,0,0), "Night", IF(EHR_Export[[#This Row],[Arrival Time]]&lt;TIME(15,0,0), "Day", "Evening"))</f>
        <v>Night</v>
      </c>
      <c r="P47" cm="1">
        <f t="array" ref="P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8" spans="1:16" x14ac:dyDescent="0.25">
      <c r="A48" t="s">
        <v>1380</v>
      </c>
      <c r="B48" s="1">
        <v>46027</v>
      </c>
      <c r="C48" s="4">
        <v>0.88124999999999998</v>
      </c>
      <c r="D48" t="s">
        <v>58</v>
      </c>
      <c r="E48" t="s">
        <v>842</v>
      </c>
      <c r="F48" t="s">
        <v>559</v>
      </c>
      <c r="G48">
        <v>8</v>
      </c>
      <c r="H48" t="s">
        <v>849</v>
      </c>
      <c r="I48" t="s">
        <v>38</v>
      </c>
      <c r="J48">
        <v>56</v>
      </c>
      <c r="K48">
        <v>116</v>
      </c>
      <c r="L48">
        <v>3.6</v>
      </c>
      <c r="M48" t="s">
        <v>14</v>
      </c>
      <c r="N48" s="2">
        <v>3551.73</v>
      </c>
      <c r="O48" s="2" t="str">
        <f>IF(EHR_Export[[#This Row],[Arrival Time]]&lt;=TIME(7,0,0), "Night", IF(EHR_Export[[#This Row],[Arrival Time]]&lt;TIME(15,0,0), "Day", "Evening"))</f>
        <v>Evening</v>
      </c>
      <c r="P48" cm="1">
        <f t="array" ref="P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9" spans="1:16" x14ac:dyDescent="0.25">
      <c r="A49" t="s">
        <v>1493</v>
      </c>
      <c r="B49" s="1">
        <v>46027</v>
      </c>
      <c r="C49" s="4">
        <v>0.66874999999999996</v>
      </c>
      <c r="D49" t="s">
        <v>58</v>
      </c>
      <c r="E49" t="s">
        <v>842</v>
      </c>
      <c r="F49" t="s">
        <v>672</v>
      </c>
      <c r="G49">
        <v>17</v>
      </c>
      <c r="H49" t="s">
        <v>849</v>
      </c>
      <c r="I49" t="s">
        <v>25</v>
      </c>
      <c r="J49">
        <v>73</v>
      </c>
      <c r="K49">
        <v>111</v>
      </c>
      <c r="L49">
        <v>2.6</v>
      </c>
      <c r="M49" t="s">
        <v>14</v>
      </c>
      <c r="N49" s="2">
        <v>2516.0300000000002</v>
      </c>
      <c r="O49" s="2" t="str">
        <f>IF(EHR_Export[[#This Row],[Arrival Time]]&lt;=TIME(7,0,0), "Night", IF(EHR_Export[[#This Row],[Arrival Time]]&lt;TIME(15,0,0), "Day", "Evening"))</f>
        <v>Evening</v>
      </c>
      <c r="P49" cm="1">
        <f t="array" ref="P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0" spans="1:16" x14ac:dyDescent="0.25">
      <c r="A50" t="s">
        <v>1609</v>
      </c>
      <c r="B50" s="1">
        <v>46027</v>
      </c>
      <c r="C50" s="4">
        <v>0.78541666666666665</v>
      </c>
      <c r="D50" t="s">
        <v>58</v>
      </c>
      <c r="E50" t="s">
        <v>842</v>
      </c>
      <c r="F50" t="s">
        <v>788</v>
      </c>
      <c r="G50">
        <v>31</v>
      </c>
      <c r="H50" t="s">
        <v>849</v>
      </c>
      <c r="I50" t="s">
        <v>25</v>
      </c>
      <c r="J50">
        <v>71</v>
      </c>
      <c r="K50">
        <v>90</v>
      </c>
      <c r="L50">
        <v>4.5</v>
      </c>
      <c r="M50" t="s">
        <v>14</v>
      </c>
      <c r="N50" s="2">
        <v>2420.79</v>
      </c>
      <c r="O50" s="2" t="str">
        <f>IF(EHR_Export[[#This Row],[Arrival Time]]&lt;=TIME(7,0,0), "Night", IF(EHR_Export[[#This Row],[Arrival Time]]&lt;TIME(15,0,0), "Day", "Evening"))</f>
        <v>Evening</v>
      </c>
      <c r="P50" cm="1">
        <f t="array" ref="P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1" spans="1:16" x14ac:dyDescent="0.25">
      <c r="A51" t="s">
        <v>1617</v>
      </c>
      <c r="B51" s="1">
        <v>46027</v>
      </c>
      <c r="C51" s="4">
        <v>0.75347222222222221</v>
      </c>
      <c r="D51" t="s">
        <v>28</v>
      </c>
      <c r="E51" t="s">
        <v>23</v>
      </c>
      <c r="F51" t="s">
        <v>796</v>
      </c>
      <c r="G51">
        <v>10</v>
      </c>
      <c r="H51" t="s">
        <v>847</v>
      </c>
      <c r="I51" t="s">
        <v>34</v>
      </c>
      <c r="J51">
        <v>53</v>
      </c>
      <c r="K51">
        <v>48</v>
      </c>
      <c r="L51">
        <v>4.2</v>
      </c>
      <c r="M51" t="s">
        <v>14</v>
      </c>
      <c r="N51" s="2">
        <v>830.81</v>
      </c>
      <c r="O51" s="2" t="str">
        <f>IF(EHR_Export[[#This Row],[Arrival Time]]&lt;=TIME(7,0,0), "Night", IF(EHR_Export[[#This Row],[Arrival Time]]&lt;TIME(15,0,0), "Day", "Evening"))</f>
        <v>Evening</v>
      </c>
      <c r="P51" cm="1">
        <f t="array" ref="P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2" spans="1:16" x14ac:dyDescent="0.25">
      <c r="A52" t="s">
        <v>1032</v>
      </c>
      <c r="B52" s="1">
        <v>46028</v>
      </c>
      <c r="C52" s="4">
        <v>0.2902777777777778</v>
      </c>
      <c r="D52" t="s">
        <v>21</v>
      </c>
      <c r="E52" t="s">
        <v>53</v>
      </c>
      <c r="F52" t="s">
        <v>211</v>
      </c>
      <c r="G52">
        <v>20</v>
      </c>
      <c r="H52" t="s">
        <v>847</v>
      </c>
      <c r="I52" t="s">
        <v>13</v>
      </c>
      <c r="J52">
        <v>29</v>
      </c>
      <c r="K52">
        <v>10</v>
      </c>
      <c r="L52">
        <v>3.6</v>
      </c>
      <c r="M52" t="s">
        <v>14</v>
      </c>
      <c r="N52" s="2">
        <v>818.25</v>
      </c>
      <c r="O52" s="2" t="str">
        <f>IF(EHR_Export[[#This Row],[Arrival Time]]&lt;=TIME(7,0,0), "Night", IF(EHR_Export[[#This Row],[Arrival Time]]&lt;TIME(15,0,0), "Day", "Evening"))</f>
        <v>Night</v>
      </c>
      <c r="P52" cm="1">
        <f t="array" ref="P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3" spans="1:16" x14ac:dyDescent="0.25">
      <c r="A53" t="s">
        <v>1155</v>
      </c>
      <c r="B53" s="1">
        <v>46028</v>
      </c>
      <c r="C53" s="4">
        <v>0.8256944444444444</v>
      </c>
      <c r="D53" t="s">
        <v>28</v>
      </c>
      <c r="E53" t="s">
        <v>23</v>
      </c>
      <c r="F53" t="s">
        <v>334</v>
      </c>
      <c r="G53">
        <v>1</v>
      </c>
      <c r="H53" t="s">
        <v>849</v>
      </c>
      <c r="I53" t="s">
        <v>34</v>
      </c>
      <c r="J53">
        <v>56</v>
      </c>
      <c r="K53">
        <v>55</v>
      </c>
      <c r="M53" t="s">
        <v>14</v>
      </c>
      <c r="N53" s="2">
        <v>1133.1099999999999</v>
      </c>
      <c r="O53" s="2" t="str">
        <f>IF(EHR_Export[[#This Row],[Arrival Time]]&lt;=TIME(7,0,0), "Night", IF(EHR_Export[[#This Row],[Arrival Time]]&lt;TIME(15,0,0), "Day", "Evening"))</f>
        <v>Evening</v>
      </c>
      <c r="P53" cm="1">
        <f t="array" ref="P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54" spans="1:16" x14ac:dyDescent="0.25">
      <c r="A54" t="s">
        <v>1433</v>
      </c>
      <c r="B54" s="1">
        <v>46028</v>
      </c>
      <c r="C54" s="4">
        <v>0.6694444444444444</v>
      </c>
      <c r="D54" t="s">
        <v>21</v>
      </c>
      <c r="E54" t="s">
        <v>53</v>
      </c>
      <c r="F54" t="s">
        <v>612</v>
      </c>
      <c r="G54">
        <v>61</v>
      </c>
      <c r="H54" t="s">
        <v>847</v>
      </c>
      <c r="I54" t="s">
        <v>34</v>
      </c>
      <c r="J54">
        <v>36</v>
      </c>
      <c r="K54">
        <v>64</v>
      </c>
      <c r="L54">
        <v>4.4000000000000004</v>
      </c>
      <c r="M54" t="s">
        <v>14</v>
      </c>
      <c r="N54" s="2">
        <v>795.83</v>
      </c>
      <c r="O54" s="2" t="str">
        <f>IF(EHR_Export[[#This Row],[Arrival Time]]&lt;=TIME(7,0,0), "Night", IF(EHR_Export[[#This Row],[Arrival Time]]&lt;TIME(15,0,0), "Day", "Evening"))</f>
        <v>Evening</v>
      </c>
      <c r="P54" cm="1">
        <f t="array" ref="P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5" spans="1:16" x14ac:dyDescent="0.25">
      <c r="A55" t="s">
        <v>1436</v>
      </c>
      <c r="B55" s="1">
        <v>46028</v>
      </c>
      <c r="C55" s="4">
        <v>0.83611111111111114</v>
      </c>
      <c r="D55" t="s">
        <v>28</v>
      </c>
      <c r="E55" t="s">
        <v>23</v>
      </c>
      <c r="F55" t="s">
        <v>615</v>
      </c>
      <c r="G55">
        <v>30</v>
      </c>
      <c r="H55" t="s">
        <v>849</v>
      </c>
      <c r="I55" t="s">
        <v>13</v>
      </c>
      <c r="J55">
        <v>49</v>
      </c>
      <c r="K55">
        <v>45</v>
      </c>
      <c r="L55">
        <v>4.2</v>
      </c>
      <c r="M55" t="s">
        <v>14</v>
      </c>
      <c r="N55" s="2">
        <v>902.67</v>
      </c>
      <c r="O55" s="2" t="str">
        <f>IF(EHR_Export[[#This Row],[Arrival Time]]&lt;=TIME(7,0,0), "Night", IF(EHR_Export[[#This Row],[Arrival Time]]&lt;TIME(15,0,0), "Day", "Evening"))</f>
        <v>Evening</v>
      </c>
      <c r="P55" cm="1">
        <f t="array" ref="P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56" spans="1:16" x14ac:dyDescent="0.25">
      <c r="A56" t="s">
        <v>1615</v>
      </c>
      <c r="B56" s="1">
        <v>46028</v>
      </c>
      <c r="C56" s="4">
        <v>0.37013888888888891</v>
      </c>
      <c r="D56" t="s">
        <v>58</v>
      </c>
      <c r="E56" t="s">
        <v>842</v>
      </c>
      <c r="F56" t="s">
        <v>794</v>
      </c>
      <c r="G56">
        <v>55</v>
      </c>
      <c r="H56" t="s">
        <v>849</v>
      </c>
      <c r="I56" t="s">
        <v>34</v>
      </c>
      <c r="J56">
        <v>41</v>
      </c>
      <c r="K56">
        <v>82</v>
      </c>
      <c r="L56">
        <v>3.7</v>
      </c>
      <c r="M56" t="s">
        <v>14</v>
      </c>
      <c r="N56" s="2">
        <v>2668.27</v>
      </c>
      <c r="O56" s="2" t="str">
        <f>IF(EHR_Export[[#This Row],[Arrival Time]]&lt;=TIME(7,0,0), "Night", IF(EHR_Export[[#This Row],[Arrival Time]]&lt;TIME(15,0,0), "Day", "Evening"))</f>
        <v>Day</v>
      </c>
      <c r="P56" cm="1">
        <f t="array" ref="P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7" spans="1:16" x14ac:dyDescent="0.25">
      <c r="A57" t="s">
        <v>1641</v>
      </c>
      <c r="B57" s="1">
        <v>46028</v>
      </c>
      <c r="C57" s="4">
        <v>0.45208333333333334</v>
      </c>
      <c r="D57" t="s">
        <v>58</v>
      </c>
      <c r="E57" t="s">
        <v>842</v>
      </c>
      <c r="F57" t="s">
        <v>820</v>
      </c>
      <c r="G57">
        <v>34</v>
      </c>
      <c r="H57" t="s">
        <v>847</v>
      </c>
      <c r="I57" t="s">
        <v>38</v>
      </c>
      <c r="J57">
        <v>68</v>
      </c>
      <c r="K57">
        <v>99</v>
      </c>
      <c r="L57">
        <v>3.3</v>
      </c>
      <c r="M57" t="s">
        <v>14</v>
      </c>
      <c r="N57" s="2">
        <v>4155.62</v>
      </c>
      <c r="O57" s="2" t="str">
        <f>IF(EHR_Export[[#This Row],[Arrival Time]]&lt;=TIME(7,0,0), "Night", IF(EHR_Export[[#This Row],[Arrival Time]]&lt;TIME(15,0,0), "Day", "Evening"))</f>
        <v>Day</v>
      </c>
      <c r="P57" cm="1">
        <f t="array" ref="P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8" spans="1:16" x14ac:dyDescent="0.25">
      <c r="A58" t="s">
        <v>954</v>
      </c>
      <c r="B58" s="1">
        <v>46029</v>
      </c>
      <c r="C58" s="4">
        <v>0.6118055555555556</v>
      </c>
      <c r="D58" t="s">
        <v>126</v>
      </c>
      <c r="E58" t="s">
        <v>46</v>
      </c>
      <c r="F58" t="s">
        <v>133</v>
      </c>
      <c r="G58">
        <v>50</v>
      </c>
      <c r="H58" t="s">
        <v>849</v>
      </c>
      <c r="I58" t="s">
        <v>25</v>
      </c>
      <c r="J58">
        <v>29</v>
      </c>
      <c r="K58">
        <v>99</v>
      </c>
      <c r="M58" t="s">
        <v>14</v>
      </c>
      <c r="N58" s="2">
        <v>1392.95</v>
      </c>
      <c r="O58" s="2" t="str">
        <f>IF(EHR_Export[[#This Row],[Arrival Time]]&lt;=TIME(7,0,0), "Night", IF(EHR_Export[[#This Row],[Arrival Time]]&lt;TIME(15,0,0), "Day", "Evening"))</f>
        <v>Day</v>
      </c>
      <c r="P58" cm="1">
        <f t="array" ref="P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9" spans="1:16" x14ac:dyDescent="0.25">
      <c r="A59" t="s">
        <v>979</v>
      </c>
      <c r="B59" s="1">
        <v>46029</v>
      </c>
      <c r="C59" s="4">
        <v>0.5229166666666667</v>
      </c>
      <c r="D59" t="s">
        <v>28</v>
      </c>
      <c r="E59" t="s">
        <v>23</v>
      </c>
      <c r="F59" t="s">
        <v>158</v>
      </c>
      <c r="G59">
        <v>20</v>
      </c>
      <c r="H59" t="s">
        <v>849</v>
      </c>
      <c r="I59" t="s">
        <v>38</v>
      </c>
      <c r="J59">
        <v>53</v>
      </c>
      <c r="K59">
        <v>50</v>
      </c>
      <c r="M59" t="s">
        <v>14</v>
      </c>
      <c r="N59" s="2">
        <v>402.27</v>
      </c>
      <c r="O59" s="2" t="str">
        <f>IF(EHR_Export[[#This Row],[Arrival Time]]&lt;=TIME(7,0,0), "Night", IF(EHR_Export[[#This Row],[Arrival Time]]&lt;TIME(15,0,0), "Day", "Evening"))</f>
        <v>Day</v>
      </c>
      <c r="P59" cm="1">
        <f t="array" ref="P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0" spans="1:16" x14ac:dyDescent="0.25">
      <c r="A60" t="s">
        <v>1124</v>
      </c>
      <c r="B60" s="1">
        <v>46029</v>
      </c>
      <c r="C60" s="4">
        <v>0.71736111111111112</v>
      </c>
      <c r="D60" t="s">
        <v>126</v>
      </c>
      <c r="E60" t="s">
        <v>46</v>
      </c>
      <c r="F60" t="s">
        <v>303</v>
      </c>
      <c r="G60">
        <v>93</v>
      </c>
      <c r="H60" t="s">
        <v>849</v>
      </c>
      <c r="I60" t="s">
        <v>13</v>
      </c>
      <c r="J60">
        <v>10</v>
      </c>
      <c r="K60">
        <v>45</v>
      </c>
      <c r="L60">
        <v>4.4000000000000004</v>
      </c>
      <c r="M60" t="s">
        <v>14</v>
      </c>
      <c r="N60" s="2">
        <v>1288.48</v>
      </c>
      <c r="O60" s="2" t="str">
        <f>IF(EHR_Export[[#This Row],[Arrival Time]]&lt;=TIME(7,0,0), "Night", IF(EHR_Export[[#This Row],[Arrival Time]]&lt;TIME(15,0,0), "Day", "Evening"))</f>
        <v>Evening</v>
      </c>
      <c r="P60" cm="1">
        <f t="array" ref="P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1" spans="1:16" x14ac:dyDescent="0.25">
      <c r="A61" t="s">
        <v>1487</v>
      </c>
      <c r="B61" s="1">
        <v>46029</v>
      </c>
      <c r="C61" s="4">
        <v>0.66597222222222219</v>
      </c>
      <c r="D61" t="s">
        <v>28</v>
      </c>
      <c r="E61" t="s">
        <v>23</v>
      </c>
      <c r="F61" t="s">
        <v>666</v>
      </c>
      <c r="G61">
        <v>73</v>
      </c>
      <c r="H61" t="s">
        <v>849</v>
      </c>
      <c r="I61" t="s">
        <v>38</v>
      </c>
      <c r="J61">
        <v>51</v>
      </c>
      <c r="K61">
        <v>56</v>
      </c>
      <c r="M61" t="s">
        <v>14</v>
      </c>
      <c r="N61" s="2">
        <v>960.95</v>
      </c>
      <c r="O61" s="2" t="str">
        <f>IF(EHR_Export[[#This Row],[Arrival Time]]&lt;=TIME(7,0,0), "Night", IF(EHR_Export[[#This Row],[Arrival Time]]&lt;TIME(15,0,0), "Day", "Evening"))</f>
        <v>Evening</v>
      </c>
      <c r="P61" cm="1">
        <f t="array" ref="P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2" spans="1:16" x14ac:dyDescent="0.25">
      <c r="A62" t="s">
        <v>1516</v>
      </c>
      <c r="B62" s="1">
        <v>46029</v>
      </c>
      <c r="C62" s="4">
        <v>0.89097222222222228</v>
      </c>
      <c r="D62" t="s">
        <v>28</v>
      </c>
      <c r="E62" t="s">
        <v>23</v>
      </c>
      <c r="F62" t="s">
        <v>695</v>
      </c>
      <c r="G62">
        <v>3</v>
      </c>
      <c r="H62" t="s">
        <v>847</v>
      </c>
      <c r="I62" t="s">
        <v>25</v>
      </c>
      <c r="J62">
        <v>61</v>
      </c>
      <c r="K62">
        <v>74</v>
      </c>
      <c r="L62">
        <v>3.7</v>
      </c>
      <c r="M62" t="s">
        <v>14</v>
      </c>
      <c r="N62" s="2">
        <v>816.38</v>
      </c>
      <c r="O62" s="2" t="str">
        <f>IF(EHR_Export[[#This Row],[Arrival Time]]&lt;=TIME(7,0,0), "Night", IF(EHR_Export[[#This Row],[Arrival Time]]&lt;TIME(15,0,0), "Day", "Evening"))</f>
        <v>Evening</v>
      </c>
      <c r="P62" cm="1">
        <f t="array" ref="P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3" spans="1:16" x14ac:dyDescent="0.25">
      <c r="A63" t="s">
        <v>1603</v>
      </c>
      <c r="B63" s="1">
        <v>46029</v>
      </c>
      <c r="C63" s="4">
        <v>0.86944444444444446</v>
      </c>
      <c r="D63" t="s">
        <v>28</v>
      </c>
      <c r="E63" t="s">
        <v>23</v>
      </c>
      <c r="F63" t="s">
        <v>782</v>
      </c>
      <c r="G63">
        <v>134</v>
      </c>
      <c r="H63" t="s">
        <v>849</v>
      </c>
      <c r="I63" t="s">
        <v>25</v>
      </c>
      <c r="J63">
        <v>80</v>
      </c>
      <c r="K63">
        <v>23</v>
      </c>
      <c r="L63">
        <v>3.4</v>
      </c>
      <c r="M63" t="s">
        <v>14</v>
      </c>
      <c r="N63" s="2">
        <v>1093.78</v>
      </c>
      <c r="O63" s="2" t="str">
        <f>IF(EHR_Export[[#This Row],[Arrival Time]]&lt;=TIME(7,0,0), "Night", IF(EHR_Export[[#This Row],[Arrival Time]]&lt;TIME(15,0,0), "Day", "Evening"))</f>
        <v>Evening</v>
      </c>
      <c r="P63" cm="1">
        <f t="array" ref="P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4" spans="1:16" x14ac:dyDescent="0.25">
      <c r="A64" t="s">
        <v>1630</v>
      </c>
      <c r="B64" s="1">
        <v>46029</v>
      </c>
      <c r="C64" s="4">
        <v>0.24930555555555556</v>
      </c>
      <c r="D64" t="s">
        <v>21</v>
      </c>
      <c r="E64" t="s">
        <v>53</v>
      </c>
      <c r="F64" t="s">
        <v>809</v>
      </c>
      <c r="G64">
        <v>31</v>
      </c>
      <c r="H64" t="s">
        <v>849</v>
      </c>
      <c r="I64" t="s">
        <v>34</v>
      </c>
      <c r="J64">
        <v>57</v>
      </c>
      <c r="K64">
        <v>32</v>
      </c>
      <c r="L64">
        <v>2.6</v>
      </c>
      <c r="M64" t="s">
        <v>14</v>
      </c>
      <c r="N64" s="2">
        <v>851.34</v>
      </c>
      <c r="O64" s="2" t="str">
        <f>IF(EHR_Export[[#This Row],[Arrival Time]]&lt;=TIME(7,0,0), "Night", IF(EHR_Export[[#This Row],[Arrival Time]]&lt;TIME(15,0,0), "Day", "Evening"))</f>
        <v>Night</v>
      </c>
      <c r="P64" cm="1">
        <f t="array" ref="P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5" spans="1:16" x14ac:dyDescent="0.25">
      <c r="A65" t="s">
        <v>953</v>
      </c>
      <c r="B65" s="1">
        <v>46030</v>
      </c>
      <c r="C65" s="4">
        <v>0.26527777777777778</v>
      </c>
      <c r="D65" t="s">
        <v>21</v>
      </c>
      <c r="E65" t="s">
        <v>53</v>
      </c>
      <c r="F65" t="s">
        <v>132</v>
      </c>
      <c r="G65">
        <v>78</v>
      </c>
      <c r="H65" t="s">
        <v>849</v>
      </c>
      <c r="I65" t="s">
        <v>25</v>
      </c>
      <c r="J65">
        <v>39</v>
      </c>
      <c r="K65">
        <v>30</v>
      </c>
      <c r="L65">
        <v>3.8</v>
      </c>
      <c r="M65" t="s">
        <v>14</v>
      </c>
      <c r="N65" s="2">
        <v>610.74</v>
      </c>
      <c r="O65" s="2" t="str">
        <f>IF(EHR_Export[[#This Row],[Arrival Time]]&lt;=TIME(7,0,0), "Night", IF(EHR_Export[[#This Row],[Arrival Time]]&lt;TIME(15,0,0), "Day", "Evening"))</f>
        <v>Night</v>
      </c>
      <c r="P65" cm="1">
        <f t="array" ref="P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66" spans="1:16" x14ac:dyDescent="0.25">
      <c r="A66" t="s">
        <v>988</v>
      </c>
      <c r="B66" s="1">
        <v>46030</v>
      </c>
      <c r="C66" s="4">
        <v>0.67847222222222225</v>
      </c>
      <c r="D66" t="s">
        <v>28</v>
      </c>
      <c r="E66" t="s">
        <v>23</v>
      </c>
      <c r="F66" t="s">
        <v>167</v>
      </c>
      <c r="G66">
        <v>46</v>
      </c>
      <c r="H66" t="s">
        <v>849</v>
      </c>
      <c r="I66" t="s">
        <v>25</v>
      </c>
      <c r="J66">
        <v>77</v>
      </c>
      <c r="K66">
        <v>57</v>
      </c>
      <c r="L66">
        <v>4.0999999999999996</v>
      </c>
      <c r="M66" t="s">
        <v>14</v>
      </c>
      <c r="N66" s="2">
        <v>718.54</v>
      </c>
      <c r="O66" s="2" t="str">
        <f>IF(EHR_Export[[#This Row],[Arrival Time]]&lt;=TIME(7,0,0), "Night", IF(EHR_Export[[#This Row],[Arrival Time]]&lt;TIME(15,0,0), "Day", "Evening"))</f>
        <v>Evening</v>
      </c>
      <c r="P66" cm="1">
        <f t="array" ref="P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7" spans="1:16" x14ac:dyDescent="0.25">
      <c r="A67" t="s">
        <v>1478</v>
      </c>
      <c r="B67" s="1">
        <v>46030</v>
      </c>
      <c r="C67" s="4">
        <v>0.39583333333333331</v>
      </c>
      <c r="D67" t="s">
        <v>28</v>
      </c>
      <c r="E67" t="s">
        <v>23</v>
      </c>
      <c r="F67" t="s">
        <v>657</v>
      </c>
      <c r="G67">
        <v>49</v>
      </c>
      <c r="H67" t="s">
        <v>849</v>
      </c>
      <c r="I67" t="s">
        <v>34</v>
      </c>
      <c r="J67">
        <v>56</v>
      </c>
      <c r="K67">
        <v>55</v>
      </c>
      <c r="L67">
        <v>4</v>
      </c>
      <c r="M67" t="s">
        <v>18</v>
      </c>
      <c r="N67" s="2">
        <v>975.07</v>
      </c>
      <c r="O67" s="2" t="str">
        <f>IF(EHR_Export[[#This Row],[Arrival Time]]&lt;=TIME(7,0,0), "Night", IF(EHR_Export[[#This Row],[Arrival Time]]&lt;TIME(15,0,0), "Day", "Evening"))</f>
        <v>Day</v>
      </c>
      <c r="P67" cm="1">
        <f t="array" ref="P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68" spans="1:16" x14ac:dyDescent="0.25">
      <c r="A68" t="s">
        <v>1553</v>
      </c>
      <c r="B68" s="1">
        <v>46030</v>
      </c>
      <c r="C68" s="4">
        <v>0.47638888888888886</v>
      </c>
      <c r="D68" t="s">
        <v>48</v>
      </c>
      <c r="E68" t="s">
        <v>42</v>
      </c>
      <c r="F68" t="s">
        <v>732</v>
      </c>
      <c r="G68">
        <v>66</v>
      </c>
      <c r="H68" t="s">
        <v>849</v>
      </c>
      <c r="I68" t="s">
        <v>34</v>
      </c>
      <c r="J68">
        <v>63</v>
      </c>
      <c r="K68">
        <v>13</v>
      </c>
      <c r="L68">
        <v>3.8</v>
      </c>
      <c r="M68" t="s">
        <v>14</v>
      </c>
      <c r="N68" s="2">
        <v>2015.27</v>
      </c>
      <c r="O68" s="2" t="str">
        <f>IF(EHR_Export[[#This Row],[Arrival Time]]&lt;=TIME(7,0,0), "Night", IF(EHR_Export[[#This Row],[Arrival Time]]&lt;TIME(15,0,0), "Day", "Evening"))</f>
        <v>Day</v>
      </c>
      <c r="P68" cm="1">
        <f t="array" ref="P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9" spans="1:16" x14ac:dyDescent="0.25">
      <c r="A69" t="s">
        <v>1585</v>
      </c>
      <c r="B69" s="1">
        <v>46030</v>
      </c>
      <c r="C69" s="4">
        <v>0.70138888888888884</v>
      </c>
      <c r="D69" t="s">
        <v>28</v>
      </c>
      <c r="E69" t="s">
        <v>23</v>
      </c>
      <c r="F69" t="s">
        <v>764</v>
      </c>
      <c r="G69">
        <v>49</v>
      </c>
      <c r="H69" t="s">
        <v>847</v>
      </c>
      <c r="I69" t="s">
        <v>13</v>
      </c>
      <c r="J69">
        <v>45</v>
      </c>
      <c r="K69">
        <v>65</v>
      </c>
      <c r="L69">
        <v>4</v>
      </c>
      <c r="M69" t="s">
        <v>14</v>
      </c>
      <c r="N69" s="2">
        <v>1149.67</v>
      </c>
      <c r="O69" s="2" t="str">
        <f>IF(EHR_Export[[#This Row],[Arrival Time]]&lt;=TIME(7,0,0), "Night", IF(EHR_Export[[#This Row],[Arrival Time]]&lt;TIME(15,0,0), "Day", "Evening"))</f>
        <v>Evening</v>
      </c>
      <c r="P69" cm="1">
        <f t="array" ref="P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0" spans="1:16" x14ac:dyDescent="0.25">
      <c r="A70" t="s">
        <v>948</v>
      </c>
      <c r="B70" s="1">
        <v>46031</v>
      </c>
      <c r="C70" s="4">
        <v>0.82430555555555551</v>
      </c>
      <c r="D70" t="s">
        <v>126</v>
      </c>
      <c r="E70" t="s">
        <v>46</v>
      </c>
      <c r="F70" t="s">
        <v>127</v>
      </c>
      <c r="G70">
        <v>29</v>
      </c>
      <c r="H70" t="s">
        <v>847</v>
      </c>
      <c r="I70" t="s">
        <v>25</v>
      </c>
      <c r="J70">
        <v>68</v>
      </c>
      <c r="K70">
        <v>38</v>
      </c>
      <c r="L70">
        <v>2.6</v>
      </c>
      <c r="M70" t="s">
        <v>14</v>
      </c>
      <c r="N70" s="2">
        <v>2389</v>
      </c>
      <c r="O70" s="2" t="str">
        <f>IF(EHR_Export[[#This Row],[Arrival Time]]&lt;=TIME(7,0,0), "Night", IF(EHR_Export[[#This Row],[Arrival Time]]&lt;TIME(15,0,0), "Day", "Evening"))</f>
        <v>Evening</v>
      </c>
      <c r="P70" cm="1">
        <f t="array" ref="P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1" spans="1:16" x14ac:dyDescent="0.25">
      <c r="A71" t="s">
        <v>1188</v>
      </c>
      <c r="B71" s="1">
        <v>46031</v>
      </c>
      <c r="C71" s="4">
        <v>0.86527777777777781</v>
      </c>
      <c r="D71" t="s">
        <v>28</v>
      </c>
      <c r="E71" t="s">
        <v>23</v>
      </c>
      <c r="F71" t="s">
        <v>367</v>
      </c>
      <c r="G71">
        <v>44</v>
      </c>
      <c r="H71" t="s">
        <v>847</v>
      </c>
      <c r="I71" t="s">
        <v>25</v>
      </c>
      <c r="J71">
        <v>84</v>
      </c>
      <c r="K71">
        <v>42</v>
      </c>
      <c r="L71">
        <v>3.5</v>
      </c>
      <c r="M71" t="s">
        <v>14</v>
      </c>
      <c r="N71" s="2">
        <v>806.31</v>
      </c>
      <c r="O71" s="2" t="str">
        <f>IF(EHR_Export[[#This Row],[Arrival Time]]&lt;=TIME(7,0,0), "Night", IF(EHR_Export[[#This Row],[Arrival Time]]&lt;TIME(15,0,0), "Day", "Evening"))</f>
        <v>Evening</v>
      </c>
      <c r="P71" cm="1">
        <f t="array" ref="P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72" spans="1:16" x14ac:dyDescent="0.25">
      <c r="A72" t="s">
        <v>1279</v>
      </c>
      <c r="B72" s="1">
        <v>46031</v>
      </c>
      <c r="C72" s="4">
        <v>0.75694444444444442</v>
      </c>
      <c r="D72" t="s">
        <v>58</v>
      </c>
      <c r="E72" t="s">
        <v>842</v>
      </c>
      <c r="F72" t="s">
        <v>458</v>
      </c>
      <c r="G72">
        <v>67</v>
      </c>
      <c r="H72" t="s">
        <v>849</v>
      </c>
      <c r="I72" t="s">
        <v>34</v>
      </c>
      <c r="J72">
        <v>86</v>
      </c>
      <c r="K72">
        <v>69</v>
      </c>
      <c r="L72">
        <v>3.5</v>
      </c>
      <c r="M72" t="s">
        <v>18</v>
      </c>
      <c r="N72" s="2">
        <v>5193.92</v>
      </c>
      <c r="O72" s="2" t="str">
        <f>IF(EHR_Export[[#This Row],[Arrival Time]]&lt;=TIME(7,0,0), "Night", IF(EHR_Export[[#This Row],[Arrival Time]]&lt;TIME(15,0,0), "Day", "Evening"))</f>
        <v>Evening</v>
      </c>
      <c r="P72" cm="1">
        <f t="array" ref="P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73" spans="1:16" x14ac:dyDescent="0.25">
      <c r="A73" t="s">
        <v>1355</v>
      </c>
      <c r="B73" s="1">
        <v>46031</v>
      </c>
      <c r="C73" s="4">
        <v>0.87430555555555556</v>
      </c>
      <c r="D73" t="s">
        <v>28</v>
      </c>
      <c r="E73" t="s">
        <v>23</v>
      </c>
      <c r="F73" t="s">
        <v>534</v>
      </c>
      <c r="G73">
        <v>20</v>
      </c>
      <c r="H73" t="s">
        <v>847</v>
      </c>
      <c r="I73" t="s">
        <v>34</v>
      </c>
      <c r="J73">
        <v>61</v>
      </c>
      <c r="K73">
        <v>65</v>
      </c>
      <c r="L73">
        <v>2.4</v>
      </c>
      <c r="M73" t="s">
        <v>14</v>
      </c>
      <c r="N73" s="2">
        <v>996.47</v>
      </c>
      <c r="O73" s="2" t="str">
        <f>IF(EHR_Export[[#This Row],[Arrival Time]]&lt;=TIME(7,0,0), "Night", IF(EHR_Export[[#This Row],[Arrival Time]]&lt;TIME(15,0,0), "Day", "Evening"))</f>
        <v>Evening</v>
      </c>
      <c r="P73" cm="1">
        <f t="array" ref="P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74" spans="1:16" x14ac:dyDescent="0.25">
      <c r="A74" t="s">
        <v>1442</v>
      </c>
      <c r="B74" s="1">
        <v>46031</v>
      </c>
      <c r="C74" s="4">
        <v>0.50416666666666665</v>
      </c>
      <c r="D74" t="s">
        <v>48</v>
      </c>
      <c r="E74" t="s">
        <v>42</v>
      </c>
      <c r="F74" t="s">
        <v>621</v>
      </c>
      <c r="G74">
        <v>50</v>
      </c>
      <c r="H74" t="s">
        <v>847</v>
      </c>
      <c r="I74" t="s">
        <v>38</v>
      </c>
      <c r="J74">
        <v>39</v>
      </c>
      <c r="K74">
        <v>48</v>
      </c>
      <c r="L74">
        <v>4.0999999999999996</v>
      </c>
      <c r="M74" t="s">
        <v>14</v>
      </c>
      <c r="O74" s="2" t="str">
        <f>IF(EHR_Export[[#This Row],[Arrival Time]]&lt;=TIME(7,0,0), "Night", IF(EHR_Export[[#This Row],[Arrival Time]]&lt;TIME(15,0,0), "Day", "Evening"))</f>
        <v>Day</v>
      </c>
      <c r="P74" cm="1">
        <f t="array" ref="P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5" spans="1:16" x14ac:dyDescent="0.25">
      <c r="A75" t="s">
        <v>1504</v>
      </c>
      <c r="B75" s="1">
        <v>46031</v>
      </c>
      <c r="C75" s="4">
        <v>0.24722222222222223</v>
      </c>
      <c r="D75" t="s">
        <v>48</v>
      </c>
      <c r="E75" t="s">
        <v>42</v>
      </c>
      <c r="F75" t="s">
        <v>683</v>
      </c>
      <c r="G75">
        <v>50</v>
      </c>
      <c r="H75" t="s">
        <v>847</v>
      </c>
      <c r="I75" t="s">
        <v>25</v>
      </c>
      <c r="J75">
        <v>41</v>
      </c>
      <c r="K75">
        <v>78</v>
      </c>
      <c r="L75">
        <v>3.7</v>
      </c>
      <c r="M75" t="s">
        <v>14</v>
      </c>
      <c r="N75" s="2">
        <v>1478.69</v>
      </c>
      <c r="O75" s="2" t="str">
        <f>IF(EHR_Export[[#This Row],[Arrival Time]]&lt;=TIME(7,0,0), "Night", IF(EHR_Export[[#This Row],[Arrival Time]]&lt;TIME(15,0,0), "Day", "Evening"))</f>
        <v>Night</v>
      </c>
      <c r="P75" cm="1">
        <f t="array" ref="P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76" spans="1:16" x14ac:dyDescent="0.25">
      <c r="A76" t="s">
        <v>1559</v>
      </c>
      <c r="B76" s="1">
        <v>46031</v>
      </c>
      <c r="C76" s="4">
        <v>0.60069444444444442</v>
      </c>
      <c r="D76" t="s">
        <v>126</v>
      </c>
      <c r="E76" t="s">
        <v>46</v>
      </c>
      <c r="F76" t="s">
        <v>738</v>
      </c>
      <c r="G76">
        <v>30</v>
      </c>
      <c r="H76" t="s">
        <v>847</v>
      </c>
      <c r="I76" t="s">
        <v>38</v>
      </c>
      <c r="J76">
        <v>59</v>
      </c>
      <c r="K76">
        <v>52</v>
      </c>
      <c r="L76">
        <v>4.2</v>
      </c>
      <c r="M76" t="s">
        <v>14</v>
      </c>
      <c r="N76" s="2">
        <v>1844.14</v>
      </c>
      <c r="O76" s="2" t="str">
        <f>IF(EHR_Export[[#This Row],[Arrival Time]]&lt;=TIME(7,0,0), "Night", IF(EHR_Export[[#This Row],[Arrival Time]]&lt;TIME(15,0,0), "Day", "Evening"))</f>
        <v>Day</v>
      </c>
      <c r="P76" cm="1">
        <f t="array" ref="P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7" spans="1:16" x14ac:dyDescent="0.25">
      <c r="A77" t="s">
        <v>1636</v>
      </c>
      <c r="B77" s="1">
        <v>46031</v>
      </c>
      <c r="C77" s="4">
        <v>0.45208333333333334</v>
      </c>
      <c r="D77" t="s">
        <v>21</v>
      </c>
      <c r="E77" t="s">
        <v>53</v>
      </c>
      <c r="F77" t="s">
        <v>815</v>
      </c>
      <c r="G77">
        <v>37</v>
      </c>
      <c r="H77" t="s">
        <v>849</v>
      </c>
      <c r="I77" t="s">
        <v>34</v>
      </c>
      <c r="J77">
        <v>31</v>
      </c>
      <c r="K77">
        <v>74</v>
      </c>
      <c r="L77">
        <v>4.2</v>
      </c>
      <c r="M77" t="s">
        <v>14</v>
      </c>
      <c r="N77" s="2">
        <v>490.78</v>
      </c>
      <c r="O77" s="2" t="str">
        <f>IF(EHR_Export[[#This Row],[Arrival Time]]&lt;=TIME(7,0,0), "Night", IF(EHR_Export[[#This Row],[Arrival Time]]&lt;TIME(15,0,0), "Day", "Evening"))</f>
        <v>Day</v>
      </c>
      <c r="P77" cm="1">
        <f t="array" ref="P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8" spans="1:16" x14ac:dyDescent="0.25">
      <c r="A78" t="s">
        <v>1645</v>
      </c>
      <c r="B78" s="1">
        <v>46031</v>
      </c>
      <c r="C78" s="4">
        <v>0.81041666666666667</v>
      </c>
      <c r="D78" t="s">
        <v>126</v>
      </c>
      <c r="E78" t="s">
        <v>46</v>
      </c>
      <c r="F78" t="s">
        <v>824</v>
      </c>
      <c r="G78">
        <v>15</v>
      </c>
      <c r="H78" t="s">
        <v>849</v>
      </c>
      <c r="I78" t="s">
        <v>38</v>
      </c>
      <c r="J78">
        <v>45</v>
      </c>
      <c r="K78">
        <v>52</v>
      </c>
      <c r="L78">
        <v>3.5</v>
      </c>
      <c r="M78" t="s">
        <v>14</v>
      </c>
      <c r="N78" s="2">
        <v>1673.86</v>
      </c>
      <c r="O78" s="2" t="str">
        <f>IF(EHR_Export[[#This Row],[Arrival Time]]&lt;=TIME(7,0,0), "Night", IF(EHR_Export[[#This Row],[Arrival Time]]&lt;TIME(15,0,0), "Day", "Evening"))</f>
        <v>Evening</v>
      </c>
      <c r="P78" cm="1">
        <f t="array" ref="P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9" spans="1:16" x14ac:dyDescent="0.25">
      <c r="A79" t="s">
        <v>890</v>
      </c>
      <c r="B79" s="1">
        <v>46032</v>
      </c>
      <c r="C79" s="4">
        <v>0.29305555555555557</v>
      </c>
      <c r="D79" t="s">
        <v>28</v>
      </c>
      <c r="E79" t="s">
        <v>23</v>
      </c>
      <c r="F79" t="s">
        <v>68</v>
      </c>
      <c r="G79">
        <v>7</v>
      </c>
      <c r="H79" t="s">
        <v>849</v>
      </c>
      <c r="I79" t="s">
        <v>25</v>
      </c>
      <c r="J79">
        <v>47</v>
      </c>
      <c r="K79">
        <v>27</v>
      </c>
      <c r="L79">
        <v>3.8</v>
      </c>
      <c r="M79" t="s">
        <v>14</v>
      </c>
      <c r="N79" s="2">
        <v>906.63</v>
      </c>
      <c r="O79" s="2" t="str">
        <f>IF(EHR_Export[[#This Row],[Arrival Time]]&lt;=TIME(7,0,0), "Night", IF(EHR_Export[[#This Row],[Arrival Time]]&lt;TIME(15,0,0), "Day", "Evening"))</f>
        <v>Day</v>
      </c>
      <c r="P79" cm="1">
        <f t="array" ref="P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80" spans="1:16" x14ac:dyDescent="0.25">
      <c r="A80" t="s">
        <v>1008</v>
      </c>
      <c r="B80" s="1">
        <v>46032</v>
      </c>
      <c r="C80" s="4">
        <v>0.78611111111111109</v>
      </c>
      <c r="D80" t="s">
        <v>58</v>
      </c>
      <c r="E80" t="s">
        <v>842</v>
      </c>
      <c r="F80" t="s">
        <v>187</v>
      </c>
      <c r="G80">
        <v>39</v>
      </c>
      <c r="H80" t="s">
        <v>847</v>
      </c>
      <c r="I80" t="s">
        <v>34</v>
      </c>
      <c r="J80">
        <v>119</v>
      </c>
      <c r="K80">
        <v>84</v>
      </c>
      <c r="L80">
        <v>2.1</v>
      </c>
      <c r="M80" t="s">
        <v>14</v>
      </c>
      <c r="N80" s="2">
        <v>2753.77</v>
      </c>
      <c r="O80" s="2" t="str">
        <f>IF(EHR_Export[[#This Row],[Arrival Time]]&lt;=TIME(7,0,0), "Night", IF(EHR_Export[[#This Row],[Arrival Time]]&lt;TIME(15,0,0), "Day", "Evening"))</f>
        <v>Evening</v>
      </c>
      <c r="P80" cm="1">
        <f t="array" ref="P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81" spans="1:16" x14ac:dyDescent="0.25">
      <c r="A81" t="s">
        <v>1016</v>
      </c>
      <c r="B81" s="1">
        <v>46032</v>
      </c>
      <c r="C81" s="4">
        <v>0.77638888888888891</v>
      </c>
      <c r="D81" t="s">
        <v>126</v>
      </c>
      <c r="E81" t="s">
        <v>46</v>
      </c>
      <c r="F81" t="s">
        <v>195</v>
      </c>
      <c r="G81">
        <v>14</v>
      </c>
      <c r="H81" t="s">
        <v>847</v>
      </c>
      <c r="I81" t="s">
        <v>34</v>
      </c>
      <c r="J81">
        <v>89</v>
      </c>
      <c r="K81">
        <v>36</v>
      </c>
      <c r="L81">
        <v>2.9</v>
      </c>
      <c r="M81" t="s">
        <v>14</v>
      </c>
      <c r="N81" s="2">
        <v>1859.87</v>
      </c>
      <c r="O81" s="2" t="str">
        <f>IF(EHR_Export[[#This Row],[Arrival Time]]&lt;=TIME(7,0,0), "Night", IF(EHR_Export[[#This Row],[Arrival Time]]&lt;TIME(15,0,0), "Day", "Evening"))</f>
        <v>Evening</v>
      </c>
      <c r="P81" cm="1">
        <f t="array" ref="P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82" spans="1:16" x14ac:dyDescent="0.25">
      <c r="A82" t="s">
        <v>1023</v>
      </c>
      <c r="B82" s="1">
        <v>46032</v>
      </c>
      <c r="C82" s="4">
        <v>0.79861111111111116</v>
      </c>
      <c r="D82" t="s">
        <v>126</v>
      </c>
      <c r="E82" t="s">
        <v>46</v>
      </c>
      <c r="F82" t="s">
        <v>202</v>
      </c>
      <c r="G82">
        <v>24</v>
      </c>
      <c r="H82" t="s">
        <v>847</v>
      </c>
      <c r="I82" t="s">
        <v>38</v>
      </c>
      <c r="J82">
        <v>68</v>
      </c>
      <c r="K82">
        <v>72</v>
      </c>
      <c r="L82">
        <v>3.3</v>
      </c>
      <c r="M82" t="s">
        <v>14</v>
      </c>
      <c r="N82" s="2">
        <v>1794.17</v>
      </c>
      <c r="O82" s="2" t="str">
        <f>IF(EHR_Export[[#This Row],[Arrival Time]]&lt;=TIME(7,0,0), "Night", IF(EHR_Export[[#This Row],[Arrival Time]]&lt;TIME(15,0,0), "Day", "Evening"))</f>
        <v>Evening</v>
      </c>
      <c r="P82" cm="1">
        <f t="array" ref="P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83" spans="1:16" x14ac:dyDescent="0.25">
      <c r="A83" t="s">
        <v>1096</v>
      </c>
      <c r="B83" s="1">
        <v>46032</v>
      </c>
      <c r="C83" s="4">
        <v>0.73611111111111116</v>
      </c>
      <c r="D83" t="s">
        <v>48</v>
      </c>
      <c r="E83" t="s">
        <v>42</v>
      </c>
      <c r="F83" t="s">
        <v>275</v>
      </c>
      <c r="G83">
        <v>38</v>
      </c>
      <c r="H83" t="s">
        <v>847</v>
      </c>
      <c r="I83" t="s">
        <v>25</v>
      </c>
      <c r="J83">
        <v>94</v>
      </c>
      <c r="K83">
        <v>39</v>
      </c>
      <c r="L83">
        <v>2.7</v>
      </c>
      <c r="M83" t="s">
        <v>14</v>
      </c>
      <c r="N83" s="2">
        <v>1785.83</v>
      </c>
      <c r="O83" s="2" t="str">
        <f>IF(EHR_Export[[#This Row],[Arrival Time]]&lt;=TIME(7,0,0), "Night", IF(EHR_Export[[#This Row],[Arrival Time]]&lt;TIME(15,0,0), "Day", "Evening"))</f>
        <v>Evening</v>
      </c>
      <c r="P83" cm="1">
        <f t="array" ref="P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84" spans="1:16" x14ac:dyDescent="0.25">
      <c r="A84" t="s">
        <v>1202</v>
      </c>
      <c r="B84" s="1">
        <v>46032</v>
      </c>
      <c r="C84" s="4">
        <v>0.57013888888888886</v>
      </c>
      <c r="D84" t="s">
        <v>28</v>
      </c>
      <c r="E84" t="s">
        <v>23</v>
      </c>
      <c r="F84" t="s">
        <v>381</v>
      </c>
      <c r="G84">
        <v>8</v>
      </c>
      <c r="H84" t="s">
        <v>849</v>
      </c>
      <c r="I84" t="s">
        <v>38</v>
      </c>
      <c r="J84">
        <v>51</v>
      </c>
      <c r="K84">
        <v>59</v>
      </c>
      <c r="L84">
        <v>3.2</v>
      </c>
      <c r="M84" t="s">
        <v>14</v>
      </c>
      <c r="N84" s="2">
        <v>813.73</v>
      </c>
      <c r="O84" s="2" t="str">
        <f>IF(EHR_Export[[#This Row],[Arrival Time]]&lt;=TIME(7,0,0), "Night", IF(EHR_Export[[#This Row],[Arrival Time]]&lt;TIME(15,0,0), "Day", "Evening"))</f>
        <v>Day</v>
      </c>
      <c r="P84" cm="1">
        <f t="array" ref="P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85" spans="1:16" x14ac:dyDescent="0.25">
      <c r="A85" t="s">
        <v>1226</v>
      </c>
      <c r="B85" s="1">
        <v>46032</v>
      </c>
      <c r="C85" s="4">
        <v>0.46458333333333335</v>
      </c>
      <c r="D85" t="s">
        <v>28</v>
      </c>
      <c r="E85" t="s">
        <v>23</v>
      </c>
      <c r="F85" t="s">
        <v>405</v>
      </c>
      <c r="G85">
        <v>46</v>
      </c>
      <c r="H85" t="s">
        <v>847</v>
      </c>
      <c r="I85" t="s">
        <v>38</v>
      </c>
      <c r="J85">
        <v>31</v>
      </c>
      <c r="K85">
        <v>39</v>
      </c>
      <c r="L85">
        <v>3.5</v>
      </c>
      <c r="M85" t="s">
        <v>14</v>
      </c>
      <c r="N85" s="2">
        <v>753.06</v>
      </c>
      <c r="O85" s="2" t="str">
        <f>IF(EHR_Export[[#This Row],[Arrival Time]]&lt;=TIME(7,0,0), "Night", IF(EHR_Export[[#This Row],[Arrival Time]]&lt;TIME(15,0,0), "Day", "Evening"))</f>
        <v>Day</v>
      </c>
      <c r="P85" cm="1">
        <f t="array" ref="P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86" spans="1:16" x14ac:dyDescent="0.25">
      <c r="A86" t="s">
        <v>1618</v>
      </c>
      <c r="B86" s="1">
        <v>46032</v>
      </c>
      <c r="C86" s="4">
        <v>0.46736111111111112</v>
      </c>
      <c r="D86" t="s">
        <v>28</v>
      </c>
      <c r="E86" t="s">
        <v>23</v>
      </c>
      <c r="F86" t="s">
        <v>797</v>
      </c>
      <c r="G86">
        <v>1</v>
      </c>
      <c r="H86" t="s">
        <v>847</v>
      </c>
      <c r="I86" t="s">
        <v>25</v>
      </c>
      <c r="J86">
        <v>35</v>
      </c>
      <c r="K86">
        <v>61</v>
      </c>
      <c r="L86">
        <v>4.3</v>
      </c>
      <c r="M86" t="s">
        <v>14</v>
      </c>
      <c r="N86" s="2">
        <v>728.2</v>
      </c>
      <c r="O86" s="2" t="str">
        <f>IF(EHR_Export[[#This Row],[Arrival Time]]&lt;=TIME(7,0,0), "Night", IF(EHR_Export[[#This Row],[Arrival Time]]&lt;TIME(15,0,0), "Day", "Evening"))</f>
        <v>Day</v>
      </c>
      <c r="P86" cm="1">
        <f t="array" ref="P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87" spans="1:16" x14ac:dyDescent="0.25">
      <c r="A87" t="s">
        <v>898</v>
      </c>
      <c r="B87" s="1">
        <v>46033</v>
      </c>
      <c r="C87" s="4">
        <v>0.29791666666666666</v>
      </c>
      <c r="D87" t="s">
        <v>28</v>
      </c>
      <c r="E87" t="s">
        <v>23</v>
      </c>
      <c r="F87" t="s">
        <v>76</v>
      </c>
      <c r="G87">
        <v>17</v>
      </c>
      <c r="H87" t="s">
        <v>847</v>
      </c>
      <c r="I87" t="s">
        <v>38</v>
      </c>
      <c r="J87">
        <v>31</v>
      </c>
      <c r="K87">
        <v>50</v>
      </c>
      <c r="L87">
        <v>4</v>
      </c>
      <c r="M87" t="s">
        <v>14</v>
      </c>
      <c r="N87" s="2">
        <v>1058.3800000000001</v>
      </c>
      <c r="O87" s="2" t="str">
        <f>IF(EHR_Export[[#This Row],[Arrival Time]]&lt;=TIME(7,0,0), "Night", IF(EHR_Export[[#This Row],[Arrival Time]]&lt;TIME(15,0,0), "Day", "Evening"))</f>
        <v>Day</v>
      </c>
      <c r="P87" cm="1">
        <f t="array" ref="P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88" spans="1:16" x14ac:dyDescent="0.25">
      <c r="A88" t="s">
        <v>956</v>
      </c>
      <c r="B88" s="1">
        <v>46033</v>
      </c>
      <c r="C88" s="4">
        <v>0.25277777777777777</v>
      </c>
      <c r="D88" t="s">
        <v>28</v>
      </c>
      <c r="E88" t="s">
        <v>23</v>
      </c>
      <c r="F88" t="s">
        <v>135</v>
      </c>
      <c r="G88">
        <v>33</v>
      </c>
      <c r="H88" t="s">
        <v>849</v>
      </c>
      <c r="I88" t="s">
        <v>13</v>
      </c>
      <c r="J88">
        <v>40</v>
      </c>
      <c r="K88">
        <v>18</v>
      </c>
      <c r="L88">
        <v>3.4</v>
      </c>
      <c r="M88" t="s">
        <v>14</v>
      </c>
      <c r="N88" s="2">
        <v>800.66</v>
      </c>
      <c r="O88" s="2" t="str">
        <f>IF(EHR_Export[[#This Row],[Arrival Time]]&lt;=TIME(7,0,0), "Night", IF(EHR_Export[[#This Row],[Arrival Time]]&lt;TIME(15,0,0), "Day", "Evening"))</f>
        <v>Night</v>
      </c>
      <c r="P88" cm="1">
        <f t="array" ref="P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89" spans="1:16" x14ac:dyDescent="0.25">
      <c r="A89" t="s">
        <v>980</v>
      </c>
      <c r="B89" s="1">
        <v>46033</v>
      </c>
      <c r="C89" s="4">
        <v>0.75972222222222219</v>
      </c>
      <c r="D89" t="s">
        <v>58</v>
      </c>
      <c r="E89" t="s">
        <v>842</v>
      </c>
      <c r="F89" t="s">
        <v>159</v>
      </c>
      <c r="G89">
        <v>10</v>
      </c>
      <c r="H89" t="s">
        <v>849</v>
      </c>
      <c r="I89" t="s">
        <v>34</v>
      </c>
      <c r="J89">
        <v>79</v>
      </c>
      <c r="K89">
        <v>37</v>
      </c>
      <c r="L89">
        <v>2.8</v>
      </c>
      <c r="M89" t="s">
        <v>14</v>
      </c>
      <c r="N89" s="2">
        <v>2373.19</v>
      </c>
      <c r="O89" s="2" t="str">
        <f>IF(EHR_Export[[#This Row],[Arrival Time]]&lt;=TIME(7,0,0), "Night", IF(EHR_Export[[#This Row],[Arrival Time]]&lt;TIME(15,0,0), "Day", "Evening"))</f>
        <v>Evening</v>
      </c>
      <c r="P89" cm="1">
        <f t="array" ref="P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90" spans="1:16" x14ac:dyDescent="0.25">
      <c r="A90" t="s">
        <v>1017</v>
      </c>
      <c r="B90" s="1">
        <v>46033</v>
      </c>
      <c r="C90" s="4">
        <v>0.74930555555555556</v>
      </c>
      <c r="D90" t="s">
        <v>48</v>
      </c>
      <c r="E90" t="s">
        <v>42</v>
      </c>
      <c r="F90" t="s">
        <v>196</v>
      </c>
      <c r="G90">
        <v>24</v>
      </c>
      <c r="H90" t="s">
        <v>847</v>
      </c>
      <c r="I90" t="s">
        <v>38</v>
      </c>
      <c r="J90">
        <v>71</v>
      </c>
      <c r="K90">
        <v>59</v>
      </c>
      <c r="L90">
        <v>3.6</v>
      </c>
      <c r="M90" t="s">
        <v>14</v>
      </c>
      <c r="N90" s="2">
        <v>1588.69</v>
      </c>
      <c r="O90" s="2" t="str">
        <f>IF(EHR_Export[[#This Row],[Arrival Time]]&lt;=TIME(7,0,0), "Night", IF(EHR_Export[[#This Row],[Arrival Time]]&lt;TIME(15,0,0), "Day", "Evening"))</f>
        <v>Evening</v>
      </c>
      <c r="P90" cm="1">
        <f t="array" ref="P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91" spans="1:16" x14ac:dyDescent="0.25">
      <c r="A91" t="s">
        <v>1042</v>
      </c>
      <c r="B91" s="1">
        <v>46033</v>
      </c>
      <c r="C91" s="4">
        <v>0.7583333333333333</v>
      </c>
      <c r="D91" t="s">
        <v>58</v>
      </c>
      <c r="E91" t="s">
        <v>842</v>
      </c>
      <c r="F91" t="s">
        <v>221</v>
      </c>
      <c r="G91">
        <v>32</v>
      </c>
      <c r="H91" t="s">
        <v>847</v>
      </c>
      <c r="I91" t="s">
        <v>34</v>
      </c>
      <c r="J91">
        <v>98</v>
      </c>
      <c r="K91">
        <v>83</v>
      </c>
      <c r="L91">
        <v>1.7</v>
      </c>
      <c r="M91" t="s">
        <v>14</v>
      </c>
      <c r="N91" s="2">
        <v>3891.88</v>
      </c>
      <c r="O91" s="2" t="str">
        <f>IF(EHR_Export[[#This Row],[Arrival Time]]&lt;=TIME(7,0,0), "Night", IF(EHR_Export[[#This Row],[Arrival Time]]&lt;TIME(15,0,0), "Day", "Evening"))</f>
        <v>Evening</v>
      </c>
      <c r="P91" cm="1">
        <f t="array" ref="P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92" spans="1:16" x14ac:dyDescent="0.25">
      <c r="A92" t="s">
        <v>1092</v>
      </c>
      <c r="B92" s="1">
        <v>46033</v>
      </c>
      <c r="C92" s="4">
        <v>0.4236111111111111</v>
      </c>
      <c r="D92" t="s">
        <v>28</v>
      </c>
      <c r="E92" t="s">
        <v>23</v>
      </c>
      <c r="F92" t="s">
        <v>271</v>
      </c>
      <c r="G92">
        <v>56</v>
      </c>
      <c r="H92" t="s">
        <v>849</v>
      </c>
      <c r="I92" t="s">
        <v>13</v>
      </c>
      <c r="J92">
        <v>46</v>
      </c>
      <c r="K92">
        <v>67</v>
      </c>
      <c r="L92">
        <v>3.1</v>
      </c>
      <c r="M92" t="s">
        <v>14</v>
      </c>
      <c r="N92" s="2">
        <v>852.68</v>
      </c>
      <c r="O92" s="2" t="str">
        <f>IF(EHR_Export[[#This Row],[Arrival Time]]&lt;=TIME(7,0,0), "Night", IF(EHR_Export[[#This Row],[Arrival Time]]&lt;TIME(15,0,0), "Day", "Evening"))</f>
        <v>Day</v>
      </c>
      <c r="P92" cm="1">
        <f t="array" ref="P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93" spans="1:16" x14ac:dyDescent="0.25">
      <c r="A93" t="s">
        <v>1134</v>
      </c>
      <c r="B93" s="1">
        <v>46033</v>
      </c>
      <c r="C93" s="4">
        <v>0.47152777777777777</v>
      </c>
      <c r="D93" t="s">
        <v>58</v>
      </c>
      <c r="E93" t="s">
        <v>842</v>
      </c>
      <c r="F93" t="s">
        <v>313</v>
      </c>
      <c r="G93">
        <v>54</v>
      </c>
      <c r="H93" t="s">
        <v>849</v>
      </c>
      <c r="I93" t="s">
        <v>34</v>
      </c>
      <c r="J93">
        <v>67</v>
      </c>
      <c r="K93">
        <v>124</v>
      </c>
      <c r="L93">
        <v>4.0999999999999996</v>
      </c>
      <c r="M93" t="s">
        <v>14</v>
      </c>
      <c r="N93" s="2">
        <v>3075.78</v>
      </c>
      <c r="O93" s="2" t="str">
        <f>IF(EHR_Export[[#This Row],[Arrival Time]]&lt;=TIME(7,0,0), "Night", IF(EHR_Export[[#This Row],[Arrival Time]]&lt;TIME(15,0,0), "Day", "Evening"))</f>
        <v>Day</v>
      </c>
      <c r="P93" cm="1">
        <f t="array" ref="P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94" spans="1:16" x14ac:dyDescent="0.25">
      <c r="A94" t="s">
        <v>1171</v>
      </c>
      <c r="B94" s="1">
        <v>46033</v>
      </c>
      <c r="C94" s="4">
        <v>7.8472222222222221E-2</v>
      </c>
      <c r="D94" t="s">
        <v>58</v>
      </c>
      <c r="E94" t="s">
        <v>842</v>
      </c>
      <c r="F94" t="s">
        <v>350</v>
      </c>
      <c r="G94">
        <v>24</v>
      </c>
      <c r="H94" t="s">
        <v>847</v>
      </c>
      <c r="I94" t="s">
        <v>34</v>
      </c>
      <c r="J94">
        <v>77</v>
      </c>
      <c r="K94">
        <v>99</v>
      </c>
      <c r="L94">
        <v>3.3</v>
      </c>
      <c r="M94" t="s">
        <v>14</v>
      </c>
      <c r="N94" s="2">
        <v>4443.96</v>
      </c>
      <c r="O94" s="2" t="str">
        <f>IF(EHR_Export[[#This Row],[Arrival Time]]&lt;=TIME(7,0,0), "Night", IF(EHR_Export[[#This Row],[Arrival Time]]&lt;TIME(15,0,0), "Day", "Evening"))</f>
        <v>Night</v>
      </c>
      <c r="P94" cm="1">
        <f t="array" ref="P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95" spans="1:16" x14ac:dyDescent="0.25">
      <c r="A95" t="s">
        <v>1210</v>
      </c>
      <c r="B95" s="1">
        <v>46033</v>
      </c>
      <c r="C95" s="4">
        <v>0.54791666666666672</v>
      </c>
      <c r="D95" t="s">
        <v>126</v>
      </c>
      <c r="E95" t="s">
        <v>46</v>
      </c>
      <c r="F95" t="s">
        <v>389</v>
      </c>
      <c r="G95">
        <v>45</v>
      </c>
      <c r="H95" t="s">
        <v>849</v>
      </c>
      <c r="I95" t="s">
        <v>34</v>
      </c>
      <c r="J95">
        <v>23</v>
      </c>
      <c r="K95">
        <v>58</v>
      </c>
      <c r="L95">
        <v>4.5</v>
      </c>
      <c r="M95" t="s">
        <v>14</v>
      </c>
      <c r="N95" s="2">
        <v>1539.29</v>
      </c>
      <c r="O95" s="2" t="str">
        <f>IF(EHR_Export[[#This Row],[Arrival Time]]&lt;=TIME(7,0,0), "Night", IF(EHR_Export[[#This Row],[Arrival Time]]&lt;TIME(15,0,0), "Day", "Evening"))</f>
        <v>Day</v>
      </c>
      <c r="P95" cm="1">
        <f t="array" ref="P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96" spans="1:16" x14ac:dyDescent="0.25">
      <c r="A96" t="s">
        <v>1250</v>
      </c>
      <c r="B96" s="1">
        <v>46033</v>
      </c>
      <c r="C96" s="4">
        <v>0.34652777777777777</v>
      </c>
      <c r="D96" t="s">
        <v>48</v>
      </c>
      <c r="E96" t="s">
        <v>42</v>
      </c>
      <c r="F96" t="s">
        <v>429</v>
      </c>
      <c r="G96">
        <v>21</v>
      </c>
      <c r="H96" t="s">
        <v>849</v>
      </c>
      <c r="I96" t="s">
        <v>34</v>
      </c>
      <c r="J96">
        <v>64</v>
      </c>
      <c r="K96">
        <v>60</v>
      </c>
      <c r="L96">
        <v>2.2000000000000002</v>
      </c>
      <c r="M96" t="s">
        <v>14</v>
      </c>
      <c r="O96" s="2" t="str">
        <f>IF(EHR_Export[[#This Row],[Arrival Time]]&lt;=TIME(7,0,0), "Night", IF(EHR_Export[[#This Row],[Arrival Time]]&lt;TIME(15,0,0), "Day", "Evening"))</f>
        <v>Day</v>
      </c>
      <c r="P96" cm="1">
        <f t="array" ref="P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97" spans="1:16" x14ac:dyDescent="0.25">
      <c r="A97" t="s">
        <v>1263</v>
      </c>
      <c r="B97" s="1">
        <v>46033</v>
      </c>
      <c r="C97" s="4">
        <v>0.4861111111111111</v>
      </c>
      <c r="D97" t="s">
        <v>28</v>
      </c>
      <c r="E97" t="s">
        <v>23</v>
      </c>
      <c r="F97" t="s">
        <v>442</v>
      </c>
      <c r="G97">
        <v>64</v>
      </c>
      <c r="H97" t="s">
        <v>849</v>
      </c>
      <c r="I97" t="s">
        <v>13</v>
      </c>
      <c r="J97">
        <v>38</v>
      </c>
      <c r="K97">
        <v>40</v>
      </c>
      <c r="L97">
        <v>4.3</v>
      </c>
      <c r="M97" t="s">
        <v>14</v>
      </c>
      <c r="O97" s="2" t="str">
        <f>IF(EHR_Export[[#This Row],[Arrival Time]]&lt;=TIME(7,0,0), "Night", IF(EHR_Export[[#This Row],[Arrival Time]]&lt;TIME(15,0,0), "Day", "Evening"))</f>
        <v>Day</v>
      </c>
      <c r="P97" cm="1">
        <f t="array" ref="P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98" spans="1:16" x14ac:dyDescent="0.25">
      <c r="A98" t="s">
        <v>1346</v>
      </c>
      <c r="B98" s="1">
        <v>46033</v>
      </c>
      <c r="C98" s="4">
        <v>0.81458333333333333</v>
      </c>
      <c r="D98" t="s">
        <v>21</v>
      </c>
      <c r="E98" t="s">
        <v>53</v>
      </c>
      <c r="F98" t="s">
        <v>525</v>
      </c>
      <c r="G98">
        <v>11</v>
      </c>
      <c r="H98" t="s">
        <v>849</v>
      </c>
      <c r="I98" t="s">
        <v>34</v>
      </c>
      <c r="J98">
        <v>46</v>
      </c>
      <c r="K98">
        <v>53</v>
      </c>
      <c r="L98">
        <v>3.5</v>
      </c>
      <c r="M98" t="s">
        <v>14</v>
      </c>
      <c r="N98" s="2">
        <v>707.13</v>
      </c>
      <c r="O98" s="2" t="str">
        <f>IF(EHR_Export[[#This Row],[Arrival Time]]&lt;=TIME(7,0,0), "Night", IF(EHR_Export[[#This Row],[Arrival Time]]&lt;TIME(15,0,0), "Day", "Evening"))</f>
        <v>Evening</v>
      </c>
      <c r="P98" cm="1">
        <f t="array" ref="P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99" spans="1:16" x14ac:dyDescent="0.25">
      <c r="A99" t="s">
        <v>1413</v>
      </c>
      <c r="B99" s="1">
        <v>46033</v>
      </c>
      <c r="C99" s="4">
        <v>0.59236111111111112</v>
      </c>
      <c r="D99" t="s">
        <v>58</v>
      </c>
      <c r="E99" t="s">
        <v>842</v>
      </c>
      <c r="F99" t="s">
        <v>592</v>
      </c>
      <c r="G99">
        <v>22</v>
      </c>
      <c r="H99" t="s">
        <v>847</v>
      </c>
      <c r="I99" t="s">
        <v>25</v>
      </c>
      <c r="J99">
        <v>41</v>
      </c>
      <c r="K99">
        <v>51</v>
      </c>
      <c r="L99">
        <v>4.2</v>
      </c>
      <c r="M99" t="s">
        <v>14</v>
      </c>
      <c r="N99" s="2">
        <v>3243.5</v>
      </c>
      <c r="O99" s="2" t="str">
        <f>IF(EHR_Export[[#This Row],[Arrival Time]]&lt;=TIME(7,0,0), "Night", IF(EHR_Export[[#This Row],[Arrival Time]]&lt;TIME(15,0,0), "Day", "Evening"))</f>
        <v>Day</v>
      </c>
      <c r="P99" cm="1">
        <f t="array" ref="P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00" spans="1:16" x14ac:dyDescent="0.25">
      <c r="A100" t="s">
        <v>907</v>
      </c>
      <c r="B100" s="1">
        <v>46034</v>
      </c>
      <c r="C100" s="4">
        <v>7.9861111111111105E-2</v>
      </c>
      <c r="D100" t="s">
        <v>21</v>
      </c>
      <c r="E100" t="s">
        <v>53</v>
      </c>
      <c r="F100" t="s">
        <v>85</v>
      </c>
      <c r="G100">
        <v>22</v>
      </c>
      <c r="H100" t="s">
        <v>847</v>
      </c>
      <c r="I100" t="s">
        <v>25</v>
      </c>
      <c r="J100">
        <v>5</v>
      </c>
      <c r="K100">
        <v>25</v>
      </c>
      <c r="L100">
        <v>4</v>
      </c>
      <c r="M100" t="s">
        <v>14</v>
      </c>
      <c r="N100" s="2">
        <v>622.52</v>
      </c>
      <c r="O100" s="2" t="str">
        <f>IF(EHR_Export[[#This Row],[Arrival Time]]&lt;=TIME(7,0,0), "Night", IF(EHR_Export[[#This Row],[Arrival Time]]&lt;TIME(15,0,0), "Day", "Evening"))</f>
        <v>Night</v>
      </c>
      <c r="P100" cm="1">
        <f t="array" ref="P1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101" spans="1:16" x14ac:dyDescent="0.25">
      <c r="A101" t="s">
        <v>1257</v>
      </c>
      <c r="B101" s="1">
        <v>46034</v>
      </c>
      <c r="C101" s="4">
        <v>0.75208333333333333</v>
      </c>
      <c r="D101" t="s">
        <v>28</v>
      </c>
      <c r="E101" t="s">
        <v>23</v>
      </c>
      <c r="F101" t="s">
        <v>436</v>
      </c>
      <c r="G101">
        <v>999</v>
      </c>
      <c r="H101" t="s">
        <v>849</v>
      </c>
      <c r="I101" t="s">
        <v>38</v>
      </c>
      <c r="J101">
        <v>46</v>
      </c>
      <c r="K101">
        <v>17</v>
      </c>
      <c r="L101">
        <v>2.9</v>
      </c>
      <c r="M101" t="s">
        <v>14</v>
      </c>
      <c r="N101" s="2">
        <v>667.27</v>
      </c>
      <c r="O101" s="2" t="str">
        <f>IF(EHR_Export[[#This Row],[Arrival Time]]&lt;=TIME(7,0,0), "Night", IF(EHR_Export[[#This Row],[Arrival Time]]&lt;TIME(15,0,0), "Day", "Evening"))</f>
        <v>Evening</v>
      </c>
      <c r="P101" cm="1">
        <f t="array" ref="P1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102" spans="1:16" x14ac:dyDescent="0.25">
      <c r="A102" t="s">
        <v>1322</v>
      </c>
      <c r="B102" s="1">
        <v>46034</v>
      </c>
      <c r="C102" s="4">
        <v>0.8256944444444444</v>
      </c>
      <c r="D102" t="s">
        <v>58</v>
      </c>
      <c r="E102" t="s">
        <v>842</v>
      </c>
      <c r="F102" t="s">
        <v>501</v>
      </c>
      <c r="G102">
        <v>66</v>
      </c>
      <c r="H102" t="s">
        <v>847</v>
      </c>
      <c r="I102" t="s">
        <v>38</v>
      </c>
      <c r="J102">
        <v>91</v>
      </c>
      <c r="K102">
        <v>79</v>
      </c>
      <c r="L102">
        <v>3.5</v>
      </c>
      <c r="M102" t="s">
        <v>14</v>
      </c>
      <c r="N102" s="2">
        <v>3270.19</v>
      </c>
      <c r="O102" s="2" t="str">
        <f>IF(EHR_Export[[#This Row],[Arrival Time]]&lt;=TIME(7,0,0), "Night", IF(EHR_Export[[#This Row],[Arrival Time]]&lt;TIME(15,0,0), "Day", "Evening"))</f>
        <v>Evening</v>
      </c>
      <c r="P102" cm="1">
        <f t="array" ref="P1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03" spans="1:16" x14ac:dyDescent="0.25">
      <c r="A103" t="s">
        <v>1341</v>
      </c>
      <c r="B103" s="1">
        <v>46034</v>
      </c>
      <c r="C103" s="4">
        <v>0.75902777777777775</v>
      </c>
      <c r="D103" t="s">
        <v>58</v>
      </c>
      <c r="E103" t="s">
        <v>842</v>
      </c>
      <c r="F103" t="s">
        <v>520</v>
      </c>
      <c r="G103">
        <v>67</v>
      </c>
      <c r="H103" t="s">
        <v>847</v>
      </c>
      <c r="I103" t="s">
        <v>38</v>
      </c>
      <c r="J103">
        <v>60</v>
      </c>
      <c r="K103">
        <v>101</v>
      </c>
      <c r="L103">
        <v>3.6</v>
      </c>
      <c r="M103" t="s">
        <v>14</v>
      </c>
      <c r="N103" s="2">
        <v>2609.88</v>
      </c>
      <c r="O103" s="2" t="str">
        <f>IF(EHR_Export[[#This Row],[Arrival Time]]&lt;=TIME(7,0,0), "Night", IF(EHR_Export[[#This Row],[Arrival Time]]&lt;TIME(15,0,0), "Day", "Evening"))</f>
        <v>Evening</v>
      </c>
      <c r="P103" cm="1">
        <f t="array" ref="P1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04" spans="1:16" x14ac:dyDescent="0.25">
      <c r="A104" t="s">
        <v>1356</v>
      </c>
      <c r="B104" s="1">
        <v>46034</v>
      </c>
      <c r="C104" s="4">
        <v>0.40625</v>
      </c>
      <c r="D104" t="s">
        <v>28</v>
      </c>
      <c r="E104" t="s">
        <v>23</v>
      </c>
      <c r="F104" t="s">
        <v>535</v>
      </c>
      <c r="G104">
        <v>36</v>
      </c>
      <c r="H104" t="s">
        <v>847</v>
      </c>
      <c r="I104" t="s">
        <v>34</v>
      </c>
      <c r="J104">
        <v>53</v>
      </c>
      <c r="K104">
        <v>48</v>
      </c>
      <c r="L104">
        <v>3.5</v>
      </c>
      <c r="M104" t="s">
        <v>14</v>
      </c>
      <c r="N104" s="2">
        <v>645.6</v>
      </c>
      <c r="O104" s="2" t="str">
        <f>IF(EHR_Export[[#This Row],[Arrival Time]]&lt;=TIME(7,0,0), "Night", IF(EHR_Export[[#This Row],[Arrival Time]]&lt;TIME(15,0,0), "Day", "Evening"))</f>
        <v>Day</v>
      </c>
      <c r="P104" cm="1">
        <f t="array" ref="P1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05" spans="1:16" x14ac:dyDescent="0.25">
      <c r="A105" t="s">
        <v>960</v>
      </c>
      <c r="B105" s="1">
        <v>46035</v>
      </c>
      <c r="C105" s="4">
        <v>0.54166666666666663</v>
      </c>
      <c r="D105" t="s">
        <v>21</v>
      </c>
      <c r="E105" t="s">
        <v>53</v>
      </c>
      <c r="F105" t="s">
        <v>139</v>
      </c>
      <c r="G105">
        <v>66</v>
      </c>
      <c r="H105" t="s">
        <v>849</v>
      </c>
      <c r="I105" t="s">
        <v>38</v>
      </c>
      <c r="J105">
        <v>38</v>
      </c>
      <c r="K105">
        <v>48</v>
      </c>
      <c r="L105">
        <v>3.4</v>
      </c>
      <c r="M105" t="s">
        <v>14</v>
      </c>
      <c r="N105" s="2">
        <v>663.85</v>
      </c>
      <c r="O105" s="2" t="str">
        <f>IF(EHR_Export[[#This Row],[Arrival Time]]&lt;=TIME(7,0,0), "Night", IF(EHR_Export[[#This Row],[Arrival Time]]&lt;TIME(15,0,0), "Day", "Evening"))</f>
        <v>Day</v>
      </c>
      <c r="P105" cm="1">
        <f t="array" ref="P1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06" spans="1:16" x14ac:dyDescent="0.25">
      <c r="A106" t="s">
        <v>1095</v>
      </c>
      <c r="B106" s="1">
        <v>46035</v>
      </c>
      <c r="C106" s="4">
        <v>0.81805555555555554</v>
      </c>
      <c r="D106" t="s">
        <v>28</v>
      </c>
      <c r="E106" t="s">
        <v>23</v>
      </c>
      <c r="F106" t="s">
        <v>274</v>
      </c>
      <c r="G106">
        <v>61</v>
      </c>
      <c r="H106" t="s">
        <v>849</v>
      </c>
      <c r="I106" t="s">
        <v>34</v>
      </c>
      <c r="J106">
        <v>69</v>
      </c>
      <c r="K106">
        <v>70</v>
      </c>
      <c r="L106">
        <v>3</v>
      </c>
      <c r="M106" t="s">
        <v>14</v>
      </c>
      <c r="N106" s="2">
        <v>953.51</v>
      </c>
      <c r="O106" s="2" t="str">
        <f>IF(EHR_Export[[#This Row],[Arrival Time]]&lt;=TIME(7,0,0), "Night", IF(EHR_Export[[#This Row],[Arrival Time]]&lt;TIME(15,0,0), "Day", "Evening"))</f>
        <v>Evening</v>
      </c>
      <c r="P106" cm="1">
        <f t="array" ref="P1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107" spans="1:16" x14ac:dyDescent="0.25">
      <c r="A107" t="s">
        <v>1105</v>
      </c>
      <c r="B107" s="1">
        <v>46035</v>
      </c>
      <c r="C107" s="4">
        <v>0.71458333333333335</v>
      </c>
      <c r="D107" t="s">
        <v>21</v>
      </c>
      <c r="E107" t="s">
        <v>53</v>
      </c>
      <c r="F107" t="s">
        <v>284</v>
      </c>
      <c r="G107">
        <v>73</v>
      </c>
      <c r="H107" t="s">
        <v>849</v>
      </c>
      <c r="I107" t="s">
        <v>25</v>
      </c>
      <c r="J107">
        <v>25</v>
      </c>
      <c r="K107">
        <v>31</v>
      </c>
      <c r="L107">
        <v>3.3</v>
      </c>
      <c r="M107" t="s">
        <v>18</v>
      </c>
      <c r="N107" s="2">
        <v>378.3</v>
      </c>
      <c r="O107" s="2" t="str">
        <f>IF(EHR_Export[[#This Row],[Arrival Time]]&lt;=TIME(7,0,0), "Night", IF(EHR_Export[[#This Row],[Arrival Time]]&lt;TIME(15,0,0), "Day", "Evening"))</f>
        <v>Evening</v>
      </c>
      <c r="P107" cm="1">
        <f t="array" ref="P1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08" spans="1:16" x14ac:dyDescent="0.25">
      <c r="A108" t="s">
        <v>1381</v>
      </c>
      <c r="B108" s="1">
        <v>46035</v>
      </c>
      <c r="C108" s="4">
        <v>0.77500000000000002</v>
      </c>
      <c r="D108" t="s">
        <v>28</v>
      </c>
      <c r="E108" t="s">
        <v>23</v>
      </c>
      <c r="F108" t="s">
        <v>560</v>
      </c>
      <c r="G108">
        <v>42</v>
      </c>
      <c r="H108" t="s">
        <v>849</v>
      </c>
      <c r="I108" t="s">
        <v>34</v>
      </c>
      <c r="J108">
        <v>100</v>
      </c>
      <c r="K108">
        <v>60</v>
      </c>
      <c r="L108">
        <v>2.5</v>
      </c>
      <c r="M108" t="s">
        <v>14</v>
      </c>
      <c r="N108" s="2">
        <v>468.72</v>
      </c>
      <c r="O108" s="2" t="str">
        <f>IF(EHR_Export[[#This Row],[Arrival Time]]&lt;=TIME(7,0,0), "Night", IF(EHR_Export[[#This Row],[Arrival Time]]&lt;TIME(15,0,0), "Day", "Evening"))</f>
        <v>Evening</v>
      </c>
      <c r="P108" cm="1">
        <f t="array" ref="P1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109" spans="1:16" x14ac:dyDescent="0.25">
      <c r="A109" t="s">
        <v>1535</v>
      </c>
      <c r="B109" s="1">
        <v>46035</v>
      </c>
      <c r="C109" s="4">
        <v>0.53402777777777777</v>
      </c>
      <c r="D109" t="s">
        <v>21</v>
      </c>
      <c r="E109" t="s">
        <v>53</v>
      </c>
      <c r="F109" t="s">
        <v>714</v>
      </c>
      <c r="G109">
        <v>1</v>
      </c>
      <c r="H109" t="s">
        <v>849</v>
      </c>
      <c r="I109" t="s">
        <v>25</v>
      </c>
      <c r="J109">
        <v>9</v>
      </c>
      <c r="K109">
        <v>39</v>
      </c>
      <c r="L109">
        <v>4.2</v>
      </c>
      <c r="M109" t="s">
        <v>14</v>
      </c>
      <c r="N109" s="2">
        <v>424.55</v>
      </c>
      <c r="O109" s="2" t="str">
        <f>IF(EHR_Export[[#This Row],[Arrival Time]]&lt;=TIME(7,0,0), "Night", IF(EHR_Export[[#This Row],[Arrival Time]]&lt;TIME(15,0,0), "Day", "Evening"))</f>
        <v>Day</v>
      </c>
      <c r="P109" cm="1">
        <f t="array" ref="P1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10" spans="1:16" x14ac:dyDescent="0.25">
      <c r="A110" t="s">
        <v>1538</v>
      </c>
      <c r="B110" s="1">
        <v>46035</v>
      </c>
      <c r="C110" s="4">
        <v>0.40555555555555556</v>
      </c>
      <c r="D110" t="s">
        <v>126</v>
      </c>
      <c r="E110" t="s">
        <v>46</v>
      </c>
      <c r="F110" t="s">
        <v>717</v>
      </c>
      <c r="G110">
        <v>86</v>
      </c>
      <c r="H110" t="s">
        <v>849</v>
      </c>
      <c r="I110" t="s">
        <v>38</v>
      </c>
      <c r="J110">
        <v>21</v>
      </c>
      <c r="K110">
        <v>32</v>
      </c>
      <c r="N110" s="2">
        <v>1772.4</v>
      </c>
      <c r="O110" s="2" t="str">
        <f>IF(EHR_Export[[#This Row],[Arrival Time]]&lt;=TIME(7,0,0), "Night", IF(EHR_Export[[#This Row],[Arrival Time]]&lt;TIME(15,0,0), "Day", "Evening"))</f>
        <v>Day</v>
      </c>
      <c r="P110" cm="1">
        <f t="array" ref="P1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11" spans="1:16" x14ac:dyDescent="0.25">
      <c r="A111" t="s">
        <v>1555</v>
      </c>
      <c r="B111" s="1">
        <v>46035</v>
      </c>
      <c r="C111" s="4">
        <v>0.52361111111111114</v>
      </c>
      <c r="D111" t="s">
        <v>48</v>
      </c>
      <c r="E111" t="s">
        <v>42</v>
      </c>
      <c r="F111" t="s">
        <v>734</v>
      </c>
      <c r="G111">
        <v>30</v>
      </c>
      <c r="H111" t="s">
        <v>847</v>
      </c>
      <c r="I111" t="s">
        <v>34</v>
      </c>
      <c r="J111">
        <v>52</v>
      </c>
      <c r="K111">
        <v>35</v>
      </c>
      <c r="L111">
        <v>3.7</v>
      </c>
      <c r="M111" t="s">
        <v>14</v>
      </c>
      <c r="N111" s="2">
        <v>1457.47</v>
      </c>
      <c r="O111" s="2" t="str">
        <f>IF(EHR_Export[[#This Row],[Arrival Time]]&lt;=TIME(7,0,0), "Night", IF(EHR_Export[[#This Row],[Arrival Time]]&lt;TIME(15,0,0), "Day", "Evening"))</f>
        <v>Day</v>
      </c>
      <c r="P111" cm="1">
        <f t="array" ref="P1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12" spans="1:16" x14ac:dyDescent="0.25">
      <c r="A112" t="s">
        <v>1610</v>
      </c>
      <c r="B112" s="1">
        <v>46035</v>
      </c>
      <c r="C112" s="4">
        <v>0.49583333333333335</v>
      </c>
      <c r="D112" t="s">
        <v>28</v>
      </c>
      <c r="E112" t="s">
        <v>23</v>
      </c>
      <c r="F112" t="s">
        <v>789</v>
      </c>
      <c r="G112">
        <v>24</v>
      </c>
      <c r="H112" t="s">
        <v>847</v>
      </c>
      <c r="I112" t="s">
        <v>25</v>
      </c>
      <c r="J112">
        <v>61</v>
      </c>
      <c r="K112">
        <v>52</v>
      </c>
      <c r="L112">
        <v>3.5</v>
      </c>
      <c r="M112" t="s">
        <v>14</v>
      </c>
      <c r="N112" s="2">
        <v>714.12</v>
      </c>
      <c r="O112" s="2" t="str">
        <f>IF(EHR_Export[[#This Row],[Arrival Time]]&lt;=TIME(7,0,0), "Night", IF(EHR_Export[[#This Row],[Arrival Time]]&lt;TIME(15,0,0), "Day", "Evening"))</f>
        <v>Day</v>
      </c>
      <c r="P112" cm="1">
        <f t="array" ref="P1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13" spans="1:16" x14ac:dyDescent="0.25">
      <c r="A113" t="s">
        <v>1212</v>
      </c>
      <c r="B113" s="1">
        <v>46036</v>
      </c>
      <c r="C113" s="4">
        <v>0.38263888888888886</v>
      </c>
      <c r="D113" t="s">
        <v>58</v>
      </c>
      <c r="E113" t="s">
        <v>842</v>
      </c>
      <c r="F113" t="s">
        <v>391</v>
      </c>
      <c r="G113">
        <v>83</v>
      </c>
      <c r="H113" t="s">
        <v>847</v>
      </c>
      <c r="I113" t="s">
        <v>34</v>
      </c>
      <c r="J113">
        <v>73</v>
      </c>
      <c r="K113">
        <v>98</v>
      </c>
      <c r="L113">
        <v>3.7</v>
      </c>
      <c r="M113" t="s">
        <v>14</v>
      </c>
      <c r="N113" s="2">
        <v>2556.8200000000002</v>
      </c>
      <c r="O113" s="2" t="str">
        <f>IF(EHR_Export[[#This Row],[Arrival Time]]&lt;=TIME(7,0,0), "Night", IF(EHR_Export[[#This Row],[Arrival Time]]&lt;TIME(15,0,0), "Day", "Evening"))</f>
        <v>Day</v>
      </c>
      <c r="P113" cm="1">
        <f t="array" ref="P1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14" spans="1:16" x14ac:dyDescent="0.25">
      <c r="A114" t="s">
        <v>1225</v>
      </c>
      <c r="B114" s="1">
        <v>46036</v>
      </c>
      <c r="C114" s="4">
        <v>0.4201388888888889</v>
      </c>
      <c r="D114" t="s">
        <v>48</v>
      </c>
      <c r="E114" t="s">
        <v>42</v>
      </c>
      <c r="F114" t="s">
        <v>404</v>
      </c>
      <c r="G114">
        <v>75</v>
      </c>
      <c r="H114" t="s">
        <v>847</v>
      </c>
      <c r="I114" t="s">
        <v>38</v>
      </c>
      <c r="J114">
        <v>38</v>
      </c>
      <c r="K114">
        <v>51</v>
      </c>
      <c r="L114">
        <v>3.3</v>
      </c>
      <c r="M114" t="s">
        <v>14</v>
      </c>
      <c r="N114" s="2">
        <v>1920.24</v>
      </c>
      <c r="O114" s="2" t="str">
        <f>IF(EHR_Export[[#This Row],[Arrival Time]]&lt;=TIME(7,0,0), "Night", IF(EHR_Export[[#This Row],[Arrival Time]]&lt;TIME(15,0,0), "Day", "Evening"))</f>
        <v>Day</v>
      </c>
      <c r="P114" cm="1">
        <f t="array" ref="P1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15" spans="1:16" x14ac:dyDescent="0.25">
      <c r="A115" t="s">
        <v>1329</v>
      </c>
      <c r="B115" s="1">
        <v>46036</v>
      </c>
      <c r="C115" s="4">
        <v>0.78125</v>
      </c>
      <c r="D115" t="s">
        <v>28</v>
      </c>
      <c r="E115" t="s">
        <v>23</v>
      </c>
      <c r="F115" t="s">
        <v>508</v>
      </c>
      <c r="G115">
        <v>91</v>
      </c>
      <c r="H115" t="s">
        <v>847</v>
      </c>
      <c r="I115" t="s">
        <v>34</v>
      </c>
      <c r="J115">
        <v>78</v>
      </c>
      <c r="K115">
        <v>66</v>
      </c>
      <c r="L115">
        <v>4</v>
      </c>
      <c r="M115" t="s">
        <v>14</v>
      </c>
      <c r="N115" s="2">
        <v>731.26</v>
      </c>
      <c r="O115" s="2" t="str">
        <f>IF(EHR_Export[[#This Row],[Arrival Time]]&lt;=TIME(7,0,0), "Night", IF(EHR_Export[[#This Row],[Arrival Time]]&lt;TIME(15,0,0), "Day", "Evening"))</f>
        <v>Evening</v>
      </c>
      <c r="P115" cm="1">
        <f t="array" ref="P1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116" spans="1:16" x14ac:dyDescent="0.25">
      <c r="A116" t="s">
        <v>1633</v>
      </c>
      <c r="B116" s="1">
        <v>46036</v>
      </c>
      <c r="C116" s="4">
        <v>0.58402777777777781</v>
      </c>
      <c r="D116" t="s">
        <v>28</v>
      </c>
      <c r="E116" t="s">
        <v>23</v>
      </c>
      <c r="F116" t="s">
        <v>812</v>
      </c>
      <c r="G116">
        <v>47</v>
      </c>
      <c r="H116" t="s">
        <v>847</v>
      </c>
      <c r="I116" t="s">
        <v>34</v>
      </c>
      <c r="J116">
        <v>36</v>
      </c>
      <c r="K116">
        <v>80</v>
      </c>
      <c r="L116">
        <v>3.7</v>
      </c>
      <c r="M116" t="s">
        <v>14</v>
      </c>
      <c r="N116" s="2">
        <v>823.11</v>
      </c>
      <c r="O116" s="2" t="str">
        <f>IF(EHR_Export[[#This Row],[Arrival Time]]&lt;=TIME(7,0,0), "Night", IF(EHR_Export[[#This Row],[Arrival Time]]&lt;TIME(15,0,0), "Day", "Evening"))</f>
        <v>Day</v>
      </c>
      <c r="P116" cm="1">
        <f t="array" ref="P1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17" spans="1:16" x14ac:dyDescent="0.25">
      <c r="A117" t="s">
        <v>1642</v>
      </c>
      <c r="B117" s="1">
        <v>46036</v>
      </c>
      <c r="C117" s="4">
        <v>0.57708333333333328</v>
      </c>
      <c r="D117" t="s">
        <v>28</v>
      </c>
      <c r="E117" t="s">
        <v>23</v>
      </c>
      <c r="F117" t="s">
        <v>821</v>
      </c>
      <c r="G117">
        <v>29</v>
      </c>
      <c r="H117" t="s">
        <v>849</v>
      </c>
      <c r="I117" t="s">
        <v>25</v>
      </c>
      <c r="J117">
        <v>55</v>
      </c>
      <c r="K117">
        <v>57</v>
      </c>
      <c r="L117">
        <v>3.1</v>
      </c>
      <c r="M117" t="s">
        <v>14</v>
      </c>
      <c r="N117" s="2">
        <v>1071.82</v>
      </c>
      <c r="O117" s="2" t="str">
        <f>IF(EHR_Export[[#This Row],[Arrival Time]]&lt;=TIME(7,0,0), "Night", IF(EHR_Export[[#This Row],[Arrival Time]]&lt;TIME(15,0,0), "Day", "Evening"))</f>
        <v>Day</v>
      </c>
      <c r="P117" cm="1">
        <f t="array" ref="P1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18" spans="1:16" x14ac:dyDescent="0.25">
      <c r="A118" t="s">
        <v>1048</v>
      </c>
      <c r="B118" s="1">
        <v>46037</v>
      </c>
      <c r="C118" s="4">
        <v>0.42499999999999999</v>
      </c>
      <c r="D118" t="s">
        <v>58</v>
      </c>
      <c r="E118" t="s">
        <v>842</v>
      </c>
      <c r="F118" t="s">
        <v>227</v>
      </c>
      <c r="G118">
        <v>85</v>
      </c>
      <c r="H118" t="s">
        <v>847</v>
      </c>
      <c r="I118" t="s">
        <v>38</v>
      </c>
      <c r="J118">
        <v>54</v>
      </c>
      <c r="K118">
        <v>104</v>
      </c>
      <c r="L118">
        <v>3.5</v>
      </c>
      <c r="M118" t="s">
        <v>14</v>
      </c>
      <c r="N118" s="2">
        <v>3993.41</v>
      </c>
      <c r="O118" s="2" t="str">
        <f>IF(EHR_Export[[#This Row],[Arrival Time]]&lt;=TIME(7,0,0), "Night", IF(EHR_Export[[#This Row],[Arrival Time]]&lt;TIME(15,0,0), "Day", "Evening"))</f>
        <v>Day</v>
      </c>
      <c r="P118" cm="1">
        <f t="array" ref="P1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19" spans="1:16" x14ac:dyDescent="0.25">
      <c r="A119" t="s">
        <v>1073</v>
      </c>
      <c r="B119" s="1">
        <v>46037</v>
      </c>
      <c r="C119" s="4">
        <v>0.4201388888888889</v>
      </c>
      <c r="D119" t="s">
        <v>58</v>
      </c>
      <c r="E119" t="s">
        <v>842</v>
      </c>
      <c r="F119" t="s">
        <v>252</v>
      </c>
      <c r="G119">
        <v>40</v>
      </c>
      <c r="H119" t="s">
        <v>849</v>
      </c>
      <c r="I119" t="s">
        <v>38</v>
      </c>
      <c r="J119">
        <v>56</v>
      </c>
      <c r="K119">
        <v>98</v>
      </c>
      <c r="L119">
        <v>3.9</v>
      </c>
      <c r="M119" t="s">
        <v>14</v>
      </c>
      <c r="N119" s="2">
        <v>5013.43</v>
      </c>
      <c r="O119" s="2" t="str">
        <f>IF(EHR_Export[[#This Row],[Arrival Time]]&lt;=TIME(7,0,0), "Night", IF(EHR_Export[[#This Row],[Arrival Time]]&lt;TIME(15,0,0), "Day", "Evening"))</f>
        <v>Day</v>
      </c>
      <c r="P119" cm="1">
        <f t="array" ref="P1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20" spans="1:16" x14ac:dyDescent="0.25">
      <c r="A120" t="s">
        <v>1204</v>
      </c>
      <c r="B120" s="1">
        <v>46037</v>
      </c>
      <c r="C120" s="4">
        <v>0.87847222222222221</v>
      </c>
      <c r="D120" t="s">
        <v>126</v>
      </c>
      <c r="E120" t="s">
        <v>46</v>
      </c>
      <c r="F120" t="s">
        <v>383</v>
      </c>
      <c r="G120">
        <v>24</v>
      </c>
      <c r="H120" t="s">
        <v>849</v>
      </c>
      <c r="I120" t="s">
        <v>34</v>
      </c>
      <c r="J120">
        <v>47</v>
      </c>
      <c r="K120">
        <v>40</v>
      </c>
      <c r="L120">
        <v>3.3</v>
      </c>
      <c r="M120" t="s">
        <v>14</v>
      </c>
      <c r="N120" s="2">
        <v>590.12</v>
      </c>
      <c r="O120" s="2" t="str">
        <f>IF(EHR_Export[[#This Row],[Arrival Time]]&lt;=TIME(7,0,0), "Night", IF(EHR_Export[[#This Row],[Arrival Time]]&lt;TIME(15,0,0), "Day", "Evening"))</f>
        <v>Evening</v>
      </c>
      <c r="P120" cm="1">
        <f t="array" ref="P1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21" spans="1:16" x14ac:dyDescent="0.25">
      <c r="A121" t="s">
        <v>1289</v>
      </c>
      <c r="B121" s="1">
        <v>46037</v>
      </c>
      <c r="C121" s="4">
        <v>0.81944444444444442</v>
      </c>
      <c r="D121" t="s">
        <v>58</v>
      </c>
      <c r="E121" t="s">
        <v>842</v>
      </c>
      <c r="F121" t="s">
        <v>468</v>
      </c>
      <c r="G121">
        <v>79</v>
      </c>
      <c r="H121" t="s">
        <v>847</v>
      </c>
      <c r="I121" t="s">
        <v>13</v>
      </c>
      <c r="J121">
        <v>62</v>
      </c>
      <c r="K121">
        <v>121</v>
      </c>
      <c r="L121">
        <v>2.5</v>
      </c>
      <c r="M121" t="s">
        <v>14</v>
      </c>
      <c r="N121" s="2">
        <v>3358.29</v>
      </c>
      <c r="O121" s="2" t="str">
        <f>IF(EHR_Export[[#This Row],[Arrival Time]]&lt;=TIME(7,0,0), "Night", IF(EHR_Export[[#This Row],[Arrival Time]]&lt;TIME(15,0,0), "Day", "Evening"))</f>
        <v>Evening</v>
      </c>
      <c r="P121" cm="1">
        <f t="array" ref="P1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22" spans="1:16" x14ac:dyDescent="0.25">
      <c r="A122" t="s">
        <v>1349</v>
      </c>
      <c r="B122" s="1">
        <v>46037</v>
      </c>
      <c r="C122" s="4">
        <v>0.43611111111111112</v>
      </c>
      <c r="D122" t="s">
        <v>28</v>
      </c>
      <c r="E122" t="s">
        <v>23</v>
      </c>
      <c r="F122" t="s">
        <v>528</v>
      </c>
      <c r="G122">
        <v>51</v>
      </c>
      <c r="H122" t="s">
        <v>849</v>
      </c>
      <c r="I122" t="s">
        <v>38</v>
      </c>
      <c r="J122">
        <v>52</v>
      </c>
      <c r="K122">
        <v>46</v>
      </c>
      <c r="L122">
        <v>3.4</v>
      </c>
      <c r="M122" t="s">
        <v>14</v>
      </c>
      <c r="N122" s="2">
        <v>1085.1400000000001</v>
      </c>
      <c r="O122" s="2" t="str">
        <f>IF(EHR_Export[[#This Row],[Arrival Time]]&lt;=TIME(7,0,0), "Night", IF(EHR_Export[[#This Row],[Arrival Time]]&lt;TIME(15,0,0), "Day", "Evening"))</f>
        <v>Day</v>
      </c>
      <c r="P122" cm="1">
        <f t="array" ref="P1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123" spans="1:16" x14ac:dyDescent="0.25">
      <c r="A123" t="s">
        <v>1361</v>
      </c>
      <c r="B123" s="1">
        <v>46037</v>
      </c>
      <c r="C123" s="4">
        <v>0.33333333333333331</v>
      </c>
      <c r="D123" t="s">
        <v>58</v>
      </c>
      <c r="E123" t="s">
        <v>842</v>
      </c>
      <c r="F123" t="s">
        <v>540</v>
      </c>
      <c r="G123">
        <v>48</v>
      </c>
      <c r="H123" t="s">
        <v>847</v>
      </c>
      <c r="I123" t="s">
        <v>38</v>
      </c>
      <c r="J123">
        <v>54</v>
      </c>
      <c r="K123">
        <v>49</v>
      </c>
      <c r="L123">
        <v>4</v>
      </c>
      <c r="M123" t="s">
        <v>14</v>
      </c>
      <c r="N123" s="2">
        <v>3526.07</v>
      </c>
      <c r="O123" s="2" t="str">
        <f>IF(EHR_Export[[#This Row],[Arrival Time]]&lt;=TIME(7,0,0), "Night", IF(EHR_Export[[#This Row],[Arrival Time]]&lt;TIME(15,0,0), "Day", "Evening"))</f>
        <v>Day</v>
      </c>
      <c r="P123" cm="1">
        <f t="array" ref="P1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24" spans="1:16" x14ac:dyDescent="0.25">
      <c r="A124" t="s">
        <v>1369</v>
      </c>
      <c r="B124" s="1">
        <v>46037</v>
      </c>
      <c r="C124" s="4">
        <v>0.26527777777777778</v>
      </c>
      <c r="D124" t="s">
        <v>21</v>
      </c>
      <c r="E124" t="s">
        <v>53</v>
      </c>
      <c r="F124" t="s">
        <v>548</v>
      </c>
      <c r="G124">
        <v>20</v>
      </c>
      <c r="H124" t="s">
        <v>849</v>
      </c>
      <c r="I124" t="s">
        <v>38</v>
      </c>
      <c r="J124">
        <v>38</v>
      </c>
      <c r="K124">
        <v>26</v>
      </c>
      <c r="L124">
        <v>3.6</v>
      </c>
      <c r="M124" t="s">
        <v>18</v>
      </c>
      <c r="N124" s="2">
        <v>533.55999999999995</v>
      </c>
      <c r="O124" s="2" t="str">
        <f>IF(EHR_Export[[#This Row],[Arrival Time]]&lt;=TIME(7,0,0), "Night", IF(EHR_Export[[#This Row],[Arrival Time]]&lt;TIME(15,0,0), "Day", "Evening"))</f>
        <v>Night</v>
      </c>
      <c r="P124" cm="1">
        <f t="array" ref="P1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125" spans="1:16" x14ac:dyDescent="0.25">
      <c r="A125" t="s">
        <v>1426</v>
      </c>
      <c r="B125" s="1">
        <v>46037</v>
      </c>
      <c r="C125" s="4">
        <v>0.10833333333333334</v>
      </c>
      <c r="D125" t="s">
        <v>21</v>
      </c>
      <c r="E125" t="s">
        <v>53</v>
      </c>
      <c r="F125" t="s">
        <v>605</v>
      </c>
      <c r="G125">
        <v>33</v>
      </c>
      <c r="H125" t="s">
        <v>849</v>
      </c>
      <c r="I125" t="s">
        <v>25</v>
      </c>
      <c r="J125">
        <v>33</v>
      </c>
      <c r="K125">
        <v>51</v>
      </c>
      <c r="L125">
        <v>4.4000000000000004</v>
      </c>
      <c r="M125" t="s">
        <v>14</v>
      </c>
      <c r="N125" s="2">
        <v>1065.71</v>
      </c>
      <c r="O125" s="2" t="str">
        <f>IF(EHR_Export[[#This Row],[Arrival Time]]&lt;=TIME(7,0,0), "Night", IF(EHR_Export[[#This Row],[Arrival Time]]&lt;TIME(15,0,0), "Day", "Evening"))</f>
        <v>Night</v>
      </c>
      <c r="P125" cm="1">
        <f t="array" ref="P1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126" spans="1:16" x14ac:dyDescent="0.25">
      <c r="A126" t="s">
        <v>1592</v>
      </c>
      <c r="B126" s="1">
        <v>46037</v>
      </c>
      <c r="C126" s="4">
        <v>0.78333333333333333</v>
      </c>
      <c r="D126" t="s">
        <v>21</v>
      </c>
      <c r="E126" t="s">
        <v>53</v>
      </c>
      <c r="F126" t="s">
        <v>771</v>
      </c>
      <c r="G126">
        <v>55</v>
      </c>
      <c r="H126" t="s">
        <v>847</v>
      </c>
      <c r="I126" t="s">
        <v>38</v>
      </c>
      <c r="J126">
        <v>56</v>
      </c>
      <c r="K126">
        <v>62</v>
      </c>
      <c r="L126">
        <v>3.2</v>
      </c>
      <c r="M126" t="s">
        <v>18</v>
      </c>
      <c r="N126" s="2">
        <v>617.41999999999996</v>
      </c>
      <c r="O126" s="2" t="str">
        <f>IF(EHR_Export[[#This Row],[Arrival Time]]&lt;=TIME(7,0,0), "Night", IF(EHR_Export[[#This Row],[Arrival Time]]&lt;TIME(15,0,0), "Day", "Evening"))</f>
        <v>Evening</v>
      </c>
      <c r="P126" cm="1">
        <f t="array" ref="P1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27" spans="1:16" x14ac:dyDescent="0.25">
      <c r="A127" t="s">
        <v>874</v>
      </c>
      <c r="B127" s="1">
        <v>46038</v>
      </c>
      <c r="C127" s="4">
        <v>0.70208333333333328</v>
      </c>
      <c r="D127" t="s">
        <v>58</v>
      </c>
      <c r="E127" t="s">
        <v>842</v>
      </c>
      <c r="F127" t="s">
        <v>50</v>
      </c>
      <c r="G127">
        <v>37</v>
      </c>
      <c r="H127" t="s">
        <v>847</v>
      </c>
      <c r="I127" t="s">
        <v>34</v>
      </c>
      <c r="J127">
        <v>76</v>
      </c>
      <c r="K127">
        <v>114</v>
      </c>
      <c r="L127">
        <v>1.8</v>
      </c>
      <c r="M127" t="s">
        <v>14</v>
      </c>
      <c r="N127" s="2">
        <v>3994.75</v>
      </c>
      <c r="O127" s="2" t="str">
        <f>IF(EHR_Export[[#This Row],[Arrival Time]]&lt;=TIME(7,0,0), "Night", IF(EHR_Export[[#This Row],[Arrival Time]]&lt;TIME(15,0,0), "Day", "Evening"))</f>
        <v>Evening</v>
      </c>
      <c r="P127" cm="1">
        <f t="array" ref="P1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28" spans="1:16" x14ac:dyDescent="0.25">
      <c r="A128" t="s">
        <v>990</v>
      </c>
      <c r="B128" s="1">
        <v>46038</v>
      </c>
      <c r="C128" s="4">
        <v>0.55902777777777779</v>
      </c>
      <c r="D128" t="s">
        <v>126</v>
      </c>
      <c r="E128" t="s">
        <v>46</v>
      </c>
      <c r="F128" t="s">
        <v>169</v>
      </c>
      <c r="G128">
        <v>29</v>
      </c>
      <c r="H128" t="s">
        <v>849</v>
      </c>
      <c r="I128" t="s">
        <v>38</v>
      </c>
      <c r="J128">
        <v>32</v>
      </c>
      <c r="K128">
        <v>68</v>
      </c>
      <c r="L128">
        <v>3.9</v>
      </c>
      <c r="M128" t="s">
        <v>14</v>
      </c>
      <c r="N128" s="2">
        <v>1702.4</v>
      </c>
      <c r="O128" s="2" t="str">
        <f>IF(EHR_Export[[#This Row],[Arrival Time]]&lt;=TIME(7,0,0), "Night", IF(EHR_Export[[#This Row],[Arrival Time]]&lt;TIME(15,0,0), "Day", "Evening"))</f>
        <v>Day</v>
      </c>
      <c r="P128" cm="1">
        <f t="array" ref="P1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29" spans="1:16" x14ac:dyDescent="0.25">
      <c r="A129" t="s">
        <v>1012</v>
      </c>
      <c r="B129" s="1">
        <v>46038</v>
      </c>
      <c r="C129" s="4">
        <v>0.71805555555555556</v>
      </c>
      <c r="D129" t="s">
        <v>48</v>
      </c>
      <c r="E129" t="s">
        <v>42</v>
      </c>
      <c r="F129" t="s">
        <v>191</v>
      </c>
      <c r="G129">
        <v>55</v>
      </c>
      <c r="H129" t="s">
        <v>849</v>
      </c>
      <c r="I129" t="s">
        <v>38</v>
      </c>
      <c r="J129">
        <v>76</v>
      </c>
      <c r="K129">
        <v>10</v>
      </c>
      <c r="L129">
        <v>4.4000000000000004</v>
      </c>
      <c r="M129" t="s">
        <v>18</v>
      </c>
      <c r="N129" s="2">
        <v>2501.61</v>
      </c>
      <c r="O129" s="2" t="str">
        <f>IF(EHR_Export[[#This Row],[Arrival Time]]&lt;=TIME(7,0,0), "Night", IF(EHR_Export[[#This Row],[Arrival Time]]&lt;TIME(15,0,0), "Day", "Evening"))</f>
        <v>Evening</v>
      </c>
      <c r="P129" cm="1">
        <f t="array" ref="P1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30" spans="1:16" x14ac:dyDescent="0.25">
      <c r="A130" t="s">
        <v>1028</v>
      </c>
      <c r="B130" s="1">
        <v>46038</v>
      </c>
      <c r="C130" s="4">
        <v>0.47708333333333336</v>
      </c>
      <c r="D130" t="s">
        <v>28</v>
      </c>
      <c r="E130" t="s">
        <v>23</v>
      </c>
      <c r="F130" t="s">
        <v>207</v>
      </c>
      <c r="G130">
        <v>41</v>
      </c>
      <c r="H130" t="s">
        <v>849</v>
      </c>
      <c r="I130" t="s">
        <v>34</v>
      </c>
      <c r="J130">
        <v>47</v>
      </c>
      <c r="K130">
        <v>34</v>
      </c>
      <c r="L130">
        <v>2.1</v>
      </c>
      <c r="M130" t="s">
        <v>14</v>
      </c>
      <c r="N130" s="2">
        <v>791.73</v>
      </c>
      <c r="O130" s="2" t="str">
        <f>IF(EHR_Export[[#This Row],[Arrival Time]]&lt;=TIME(7,0,0), "Night", IF(EHR_Export[[#This Row],[Arrival Time]]&lt;TIME(15,0,0), "Day", "Evening"))</f>
        <v>Day</v>
      </c>
      <c r="P130" cm="1">
        <f t="array" ref="P1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131" spans="1:16" x14ac:dyDescent="0.25">
      <c r="A131" t="s">
        <v>1058</v>
      </c>
      <c r="B131" s="1">
        <v>46038</v>
      </c>
      <c r="C131" s="4">
        <v>0.66597222222222219</v>
      </c>
      <c r="D131" t="s">
        <v>28</v>
      </c>
      <c r="E131" t="s">
        <v>23</v>
      </c>
      <c r="F131" t="s">
        <v>237</v>
      </c>
      <c r="G131">
        <v>92</v>
      </c>
      <c r="H131" t="s">
        <v>847</v>
      </c>
      <c r="I131" t="s">
        <v>13</v>
      </c>
      <c r="J131">
        <v>36</v>
      </c>
      <c r="K131">
        <v>10</v>
      </c>
      <c r="L131">
        <v>3.7</v>
      </c>
      <c r="M131" t="s">
        <v>14</v>
      </c>
      <c r="N131" s="2">
        <v>797.66</v>
      </c>
      <c r="O131" s="2" t="str">
        <f>IF(EHR_Export[[#This Row],[Arrival Time]]&lt;=TIME(7,0,0), "Night", IF(EHR_Export[[#This Row],[Arrival Time]]&lt;TIME(15,0,0), "Day", "Evening"))</f>
        <v>Evening</v>
      </c>
      <c r="P131" cm="1">
        <f t="array" ref="P1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32" spans="1:16" x14ac:dyDescent="0.25">
      <c r="A132" t="s">
        <v>999</v>
      </c>
      <c r="B132" s="1">
        <v>46039</v>
      </c>
      <c r="C132" s="4">
        <v>0.33124999999999999</v>
      </c>
      <c r="D132" t="s">
        <v>28</v>
      </c>
      <c r="E132" t="s">
        <v>23</v>
      </c>
      <c r="F132" t="s">
        <v>178</v>
      </c>
      <c r="G132">
        <v>37</v>
      </c>
      <c r="H132" t="s">
        <v>847</v>
      </c>
      <c r="I132" t="s">
        <v>25</v>
      </c>
      <c r="J132">
        <v>75</v>
      </c>
      <c r="K132">
        <v>10</v>
      </c>
      <c r="L132">
        <v>3.7</v>
      </c>
      <c r="M132" t="s">
        <v>14</v>
      </c>
      <c r="N132" s="2">
        <v>706.43</v>
      </c>
      <c r="O132" s="2" t="str">
        <f>IF(EHR_Export[[#This Row],[Arrival Time]]&lt;=TIME(7,0,0), "Night", IF(EHR_Export[[#This Row],[Arrival Time]]&lt;TIME(15,0,0), "Day", "Evening"))</f>
        <v>Day</v>
      </c>
      <c r="P132" cm="1">
        <f t="array" ref="P1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33" spans="1:16" x14ac:dyDescent="0.25">
      <c r="A133" t="s">
        <v>1067</v>
      </c>
      <c r="B133" s="1">
        <v>46039</v>
      </c>
      <c r="C133" s="4">
        <v>0.57361111111111107</v>
      </c>
      <c r="D133" t="s">
        <v>48</v>
      </c>
      <c r="E133" t="s">
        <v>42</v>
      </c>
      <c r="F133" t="s">
        <v>246</v>
      </c>
      <c r="G133">
        <v>79</v>
      </c>
      <c r="H133" t="s">
        <v>849</v>
      </c>
      <c r="I133" t="s">
        <v>25</v>
      </c>
      <c r="J133">
        <v>47</v>
      </c>
      <c r="K133">
        <v>56</v>
      </c>
      <c r="L133">
        <v>3.2</v>
      </c>
      <c r="M133" t="s">
        <v>14</v>
      </c>
      <c r="N133" s="2">
        <v>1719.4</v>
      </c>
      <c r="O133" s="2" t="str">
        <f>IF(EHR_Export[[#This Row],[Arrival Time]]&lt;=TIME(7,0,0), "Night", IF(EHR_Export[[#This Row],[Arrival Time]]&lt;TIME(15,0,0), "Day", "Evening"))</f>
        <v>Day</v>
      </c>
      <c r="P133" cm="1">
        <f t="array" ref="P1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34" spans="1:16" x14ac:dyDescent="0.25">
      <c r="A134" t="s">
        <v>1120</v>
      </c>
      <c r="B134" s="1">
        <v>46039</v>
      </c>
      <c r="C134" s="4">
        <v>0.72847222222222219</v>
      </c>
      <c r="D134" t="s">
        <v>21</v>
      </c>
      <c r="E134" t="s">
        <v>53</v>
      </c>
      <c r="F134" t="s">
        <v>299</v>
      </c>
      <c r="G134">
        <v>80</v>
      </c>
      <c r="H134" t="s">
        <v>849</v>
      </c>
      <c r="I134" t="s">
        <v>38</v>
      </c>
      <c r="J134">
        <v>39</v>
      </c>
      <c r="K134">
        <v>43</v>
      </c>
      <c r="L134">
        <v>3.7</v>
      </c>
      <c r="M134" t="s">
        <v>14</v>
      </c>
      <c r="N134" s="2">
        <v>823.72</v>
      </c>
      <c r="O134" s="2" t="str">
        <f>IF(EHR_Export[[#This Row],[Arrival Time]]&lt;=TIME(7,0,0), "Night", IF(EHR_Export[[#This Row],[Arrival Time]]&lt;TIME(15,0,0), "Day", "Evening"))</f>
        <v>Evening</v>
      </c>
      <c r="P134" cm="1">
        <f t="array" ref="P1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35" spans="1:16" x14ac:dyDescent="0.25">
      <c r="A135" t="s">
        <v>1192</v>
      </c>
      <c r="B135" s="1">
        <v>46039</v>
      </c>
      <c r="C135" s="4">
        <v>0.34166666666666667</v>
      </c>
      <c r="D135" t="s">
        <v>48</v>
      </c>
      <c r="E135" t="s">
        <v>42</v>
      </c>
      <c r="F135" t="s">
        <v>371</v>
      </c>
      <c r="G135">
        <v>62</v>
      </c>
      <c r="H135" t="s">
        <v>847</v>
      </c>
      <c r="I135" t="s">
        <v>38</v>
      </c>
      <c r="J135">
        <v>70</v>
      </c>
      <c r="K135">
        <v>13</v>
      </c>
      <c r="L135">
        <v>3.6</v>
      </c>
      <c r="M135" t="s">
        <v>14</v>
      </c>
      <c r="N135" s="2">
        <v>822.45</v>
      </c>
      <c r="O135" s="2" t="str">
        <f>IF(EHR_Export[[#This Row],[Arrival Time]]&lt;=TIME(7,0,0), "Night", IF(EHR_Export[[#This Row],[Arrival Time]]&lt;TIME(15,0,0), "Day", "Evening"))</f>
        <v>Day</v>
      </c>
      <c r="P135" cm="1">
        <f t="array" ref="P1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36" spans="1:16" x14ac:dyDescent="0.25">
      <c r="A136" t="s">
        <v>1277</v>
      </c>
      <c r="B136" s="1">
        <v>46039</v>
      </c>
      <c r="C136" s="4">
        <v>0.45555555555555555</v>
      </c>
      <c r="D136" t="s">
        <v>28</v>
      </c>
      <c r="E136" t="s">
        <v>23</v>
      </c>
      <c r="F136" t="s">
        <v>456</v>
      </c>
      <c r="G136">
        <v>73</v>
      </c>
      <c r="H136" t="s">
        <v>847</v>
      </c>
      <c r="I136" t="s">
        <v>13</v>
      </c>
      <c r="J136">
        <v>87</v>
      </c>
      <c r="K136">
        <v>41</v>
      </c>
      <c r="M136" t="s">
        <v>18</v>
      </c>
      <c r="N136" s="2">
        <v>779.3</v>
      </c>
      <c r="O136" s="2" t="str">
        <f>IF(EHR_Export[[#This Row],[Arrival Time]]&lt;=TIME(7,0,0), "Night", IF(EHR_Export[[#This Row],[Arrival Time]]&lt;TIME(15,0,0), "Day", "Evening"))</f>
        <v>Day</v>
      </c>
      <c r="P136" cm="1">
        <f t="array" ref="P1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37" spans="1:16" x14ac:dyDescent="0.25">
      <c r="A137" t="s">
        <v>1303</v>
      </c>
      <c r="B137" s="1">
        <v>46039</v>
      </c>
      <c r="C137" s="4">
        <v>0.65277777777777779</v>
      </c>
      <c r="D137" t="s">
        <v>126</v>
      </c>
      <c r="E137" t="s">
        <v>46</v>
      </c>
      <c r="F137" t="s">
        <v>482</v>
      </c>
      <c r="G137">
        <v>38</v>
      </c>
      <c r="H137" t="s">
        <v>847</v>
      </c>
      <c r="I137" t="s">
        <v>34</v>
      </c>
      <c r="J137">
        <v>46</v>
      </c>
      <c r="K137">
        <v>41</v>
      </c>
      <c r="L137">
        <v>3.6</v>
      </c>
      <c r="M137" t="s">
        <v>14</v>
      </c>
      <c r="N137" s="2">
        <v>2192.86</v>
      </c>
      <c r="O137" s="2" t="str">
        <f>IF(EHR_Export[[#This Row],[Arrival Time]]&lt;=TIME(7,0,0), "Night", IF(EHR_Export[[#This Row],[Arrival Time]]&lt;TIME(15,0,0), "Day", "Evening"))</f>
        <v>Evening</v>
      </c>
      <c r="P137" cm="1">
        <f t="array" ref="P1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38" spans="1:16" x14ac:dyDescent="0.25">
      <c r="A138" t="s">
        <v>1325</v>
      </c>
      <c r="B138" s="1">
        <v>46039</v>
      </c>
      <c r="C138" s="4">
        <v>0.8930555555555556</v>
      </c>
      <c r="D138" t="s">
        <v>126</v>
      </c>
      <c r="E138" t="s">
        <v>46</v>
      </c>
      <c r="F138" t="s">
        <v>504</v>
      </c>
      <c r="G138">
        <v>47</v>
      </c>
      <c r="H138" t="s">
        <v>849</v>
      </c>
      <c r="I138" t="s">
        <v>25</v>
      </c>
      <c r="J138">
        <v>67</v>
      </c>
      <c r="K138">
        <v>50</v>
      </c>
      <c r="L138">
        <v>2.9</v>
      </c>
      <c r="M138" t="s">
        <v>14</v>
      </c>
      <c r="N138" s="2">
        <v>1567.77</v>
      </c>
      <c r="O138" s="2" t="str">
        <f>IF(EHR_Export[[#This Row],[Arrival Time]]&lt;=TIME(7,0,0), "Night", IF(EHR_Export[[#This Row],[Arrival Time]]&lt;TIME(15,0,0), "Day", "Evening"))</f>
        <v>Evening</v>
      </c>
      <c r="P138" cm="1">
        <f t="array" ref="P1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39" spans="1:16" x14ac:dyDescent="0.25">
      <c r="A139" t="s">
        <v>1418</v>
      </c>
      <c r="B139" s="1">
        <v>46039</v>
      </c>
      <c r="C139" s="4">
        <v>0.77361111111111114</v>
      </c>
      <c r="D139" t="s">
        <v>28</v>
      </c>
      <c r="E139" t="s">
        <v>23</v>
      </c>
      <c r="F139" t="s">
        <v>597</v>
      </c>
      <c r="G139">
        <v>66</v>
      </c>
      <c r="H139" t="s">
        <v>847</v>
      </c>
      <c r="I139" t="s">
        <v>38</v>
      </c>
      <c r="J139">
        <v>56</v>
      </c>
      <c r="K139">
        <v>36</v>
      </c>
      <c r="L139">
        <v>3</v>
      </c>
      <c r="M139" t="s">
        <v>14</v>
      </c>
      <c r="N139" s="2">
        <v>977.92</v>
      </c>
      <c r="O139" s="2" t="str">
        <f>IF(EHR_Export[[#This Row],[Arrival Time]]&lt;=TIME(7,0,0), "Night", IF(EHR_Export[[#This Row],[Arrival Time]]&lt;TIME(15,0,0), "Day", "Evening"))</f>
        <v>Evening</v>
      </c>
      <c r="P139" cm="1">
        <f t="array" ref="P1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40" spans="1:16" x14ac:dyDescent="0.25">
      <c r="A140" t="s">
        <v>1453</v>
      </c>
      <c r="B140" s="1">
        <v>46039</v>
      </c>
      <c r="C140" s="4">
        <v>0.45277777777777778</v>
      </c>
      <c r="D140" t="s">
        <v>126</v>
      </c>
      <c r="E140" t="s">
        <v>46</v>
      </c>
      <c r="F140" t="s">
        <v>632</v>
      </c>
      <c r="G140">
        <v>6</v>
      </c>
      <c r="H140" t="s">
        <v>849</v>
      </c>
      <c r="I140" t="s">
        <v>38</v>
      </c>
      <c r="J140">
        <v>37</v>
      </c>
      <c r="K140">
        <v>61</v>
      </c>
      <c r="L140">
        <v>2.8</v>
      </c>
      <c r="M140" t="s">
        <v>14</v>
      </c>
      <c r="O140" s="2" t="str">
        <f>IF(EHR_Export[[#This Row],[Arrival Time]]&lt;=TIME(7,0,0), "Night", IF(EHR_Export[[#This Row],[Arrival Time]]&lt;TIME(15,0,0), "Day", "Evening"))</f>
        <v>Day</v>
      </c>
      <c r="P140" cm="1">
        <f t="array" ref="P1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41" spans="1:16" x14ac:dyDescent="0.25">
      <c r="A141" t="s">
        <v>1602</v>
      </c>
      <c r="B141" s="1">
        <v>46039</v>
      </c>
      <c r="C141" s="4">
        <v>0.50416666666666665</v>
      </c>
      <c r="D141" t="s">
        <v>58</v>
      </c>
      <c r="E141" t="s">
        <v>842</v>
      </c>
      <c r="F141" t="s">
        <v>781</v>
      </c>
      <c r="G141">
        <v>41</v>
      </c>
      <c r="H141" t="s">
        <v>849</v>
      </c>
      <c r="I141" t="s">
        <v>25</v>
      </c>
      <c r="J141">
        <v>89</v>
      </c>
      <c r="K141">
        <v>80</v>
      </c>
      <c r="L141">
        <v>2.9</v>
      </c>
      <c r="N141" s="2">
        <v>4118.7700000000004</v>
      </c>
      <c r="O141" s="2" t="str">
        <f>IF(EHR_Export[[#This Row],[Arrival Time]]&lt;=TIME(7,0,0), "Night", IF(EHR_Export[[#This Row],[Arrival Time]]&lt;TIME(15,0,0), "Day", "Evening"))</f>
        <v>Day</v>
      </c>
      <c r="P141" cm="1">
        <f t="array" ref="P1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42" spans="1:16" x14ac:dyDescent="0.25">
      <c r="A142" t="s">
        <v>870</v>
      </c>
      <c r="B142" s="1">
        <v>46040</v>
      </c>
      <c r="C142" s="4">
        <v>0.44513888888888886</v>
      </c>
      <c r="D142" t="s">
        <v>48</v>
      </c>
      <c r="E142" t="s">
        <v>42</v>
      </c>
      <c r="F142" t="s">
        <v>44</v>
      </c>
      <c r="G142">
        <v>33</v>
      </c>
      <c r="H142" t="s">
        <v>847</v>
      </c>
      <c r="I142" t="s">
        <v>38</v>
      </c>
      <c r="J142">
        <v>56</v>
      </c>
      <c r="K142">
        <v>45</v>
      </c>
      <c r="L142">
        <v>4</v>
      </c>
      <c r="M142" t="s">
        <v>14</v>
      </c>
      <c r="N142" s="2">
        <v>2027.53</v>
      </c>
      <c r="O142" s="2" t="str">
        <f>IF(EHR_Export[[#This Row],[Arrival Time]]&lt;=TIME(7,0,0), "Night", IF(EHR_Export[[#This Row],[Arrival Time]]&lt;TIME(15,0,0), "Day", "Evening"))</f>
        <v>Day</v>
      </c>
      <c r="P142" cm="1">
        <f t="array" ref="P1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43" spans="1:16" x14ac:dyDescent="0.25">
      <c r="A143" t="s">
        <v>927</v>
      </c>
      <c r="B143" s="1">
        <v>46040</v>
      </c>
      <c r="C143" s="4">
        <v>0.62638888888888888</v>
      </c>
      <c r="D143" t="s">
        <v>126</v>
      </c>
      <c r="E143" t="s">
        <v>46</v>
      </c>
      <c r="F143" t="s">
        <v>105</v>
      </c>
      <c r="G143">
        <v>28</v>
      </c>
      <c r="H143" t="s">
        <v>849</v>
      </c>
      <c r="I143" t="s">
        <v>13</v>
      </c>
      <c r="J143">
        <v>44</v>
      </c>
      <c r="K143">
        <v>54</v>
      </c>
      <c r="L143">
        <v>4.0999999999999996</v>
      </c>
      <c r="M143" t="s">
        <v>18</v>
      </c>
      <c r="N143" s="2">
        <v>2304.08</v>
      </c>
      <c r="O143" s="2" t="str">
        <f>IF(EHR_Export[[#This Row],[Arrival Time]]&lt;=TIME(7,0,0), "Night", IF(EHR_Export[[#This Row],[Arrival Time]]&lt;TIME(15,0,0), "Day", "Evening"))</f>
        <v>Evening</v>
      </c>
      <c r="P143" cm="1">
        <f t="array" ref="P1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144" spans="1:16" x14ac:dyDescent="0.25">
      <c r="A144" t="s">
        <v>1370</v>
      </c>
      <c r="B144" s="1">
        <v>46040</v>
      </c>
      <c r="C144" s="4">
        <v>0.47916666666666669</v>
      </c>
      <c r="D144" t="s">
        <v>21</v>
      </c>
      <c r="E144" t="s">
        <v>53</v>
      </c>
      <c r="F144" t="s">
        <v>549</v>
      </c>
      <c r="G144">
        <v>32</v>
      </c>
      <c r="H144" t="s">
        <v>847</v>
      </c>
      <c r="I144" t="s">
        <v>25</v>
      </c>
      <c r="J144">
        <v>29</v>
      </c>
      <c r="K144">
        <v>43</v>
      </c>
      <c r="L144">
        <v>3.7</v>
      </c>
      <c r="M144" t="s">
        <v>14</v>
      </c>
      <c r="N144" s="2">
        <v>569.02</v>
      </c>
      <c r="O144" s="2" t="str">
        <f>IF(EHR_Export[[#This Row],[Arrival Time]]&lt;=TIME(7,0,0), "Night", IF(EHR_Export[[#This Row],[Arrival Time]]&lt;TIME(15,0,0), "Day", "Evening"))</f>
        <v>Day</v>
      </c>
      <c r="P144" cm="1">
        <f t="array" ref="P1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45" spans="1:16" x14ac:dyDescent="0.25">
      <c r="A145" t="s">
        <v>1375</v>
      </c>
      <c r="B145" s="1">
        <v>46040</v>
      </c>
      <c r="C145" s="4">
        <v>0.71180555555555558</v>
      </c>
      <c r="D145" t="s">
        <v>28</v>
      </c>
      <c r="E145" t="s">
        <v>23</v>
      </c>
      <c r="F145" t="s">
        <v>554</v>
      </c>
      <c r="G145">
        <v>76</v>
      </c>
      <c r="H145" t="s">
        <v>849</v>
      </c>
      <c r="I145" t="s">
        <v>25</v>
      </c>
      <c r="J145">
        <v>83</v>
      </c>
      <c r="K145">
        <v>45</v>
      </c>
      <c r="L145">
        <v>2.8</v>
      </c>
      <c r="M145" t="s">
        <v>14</v>
      </c>
      <c r="N145" s="2">
        <v>892.35</v>
      </c>
      <c r="O145" s="2" t="str">
        <f>IF(EHR_Export[[#This Row],[Arrival Time]]&lt;=TIME(7,0,0), "Night", IF(EHR_Export[[#This Row],[Arrival Time]]&lt;TIME(15,0,0), "Day", "Evening"))</f>
        <v>Evening</v>
      </c>
      <c r="P145" cm="1">
        <f t="array" ref="P1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46" spans="1:16" x14ac:dyDescent="0.25">
      <c r="A146" t="s">
        <v>1441</v>
      </c>
      <c r="B146" s="1">
        <v>46040</v>
      </c>
      <c r="C146" s="4">
        <v>0.76388888888888884</v>
      </c>
      <c r="D146" t="s">
        <v>126</v>
      </c>
      <c r="E146" t="s">
        <v>46</v>
      </c>
      <c r="F146" t="s">
        <v>620</v>
      </c>
      <c r="G146">
        <v>14</v>
      </c>
      <c r="H146" t="s">
        <v>847</v>
      </c>
      <c r="I146" t="s">
        <v>25</v>
      </c>
      <c r="J146">
        <v>43</v>
      </c>
      <c r="K146">
        <v>32</v>
      </c>
      <c r="L146">
        <v>3.9</v>
      </c>
      <c r="M146" t="s">
        <v>14</v>
      </c>
      <c r="N146" s="2">
        <v>2289.35</v>
      </c>
      <c r="O146" s="2" t="str">
        <f>IF(EHR_Export[[#This Row],[Arrival Time]]&lt;=TIME(7,0,0), "Night", IF(EHR_Export[[#This Row],[Arrival Time]]&lt;TIME(15,0,0), "Day", "Evening"))</f>
        <v>Evening</v>
      </c>
      <c r="P146" cm="1">
        <f t="array" ref="P1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147" spans="1:16" x14ac:dyDescent="0.25">
      <c r="A147" t="s">
        <v>1491</v>
      </c>
      <c r="B147" s="1">
        <v>46040</v>
      </c>
      <c r="C147" s="4">
        <v>0.73819444444444449</v>
      </c>
      <c r="D147" t="s">
        <v>126</v>
      </c>
      <c r="E147" t="s">
        <v>46</v>
      </c>
      <c r="F147" t="s">
        <v>670</v>
      </c>
      <c r="G147">
        <v>1</v>
      </c>
      <c r="H147" t="s">
        <v>847</v>
      </c>
      <c r="I147" t="s">
        <v>25</v>
      </c>
      <c r="J147">
        <v>38</v>
      </c>
      <c r="K147">
        <v>14</v>
      </c>
      <c r="M147" t="s">
        <v>18</v>
      </c>
      <c r="N147" s="2">
        <v>2034.2</v>
      </c>
      <c r="O147" s="2" t="str">
        <f>IF(EHR_Export[[#This Row],[Arrival Time]]&lt;=TIME(7,0,0), "Night", IF(EHR_Export[[#This Row],[Arrival Time]]&lt;TIME(15,0,0), "Day", "Evening"))</f>
        <v>Evening</v>
      </c>
      <c r="P147" cm="1">
        <f t="array" ref="P1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148" spans="1:16" x14ac:dyDescent="0.25">
      <c r="A148" t="s">
        <v>1632</v>
      </c>
      <c r="B148" s="1">
        <v>46040</v>
      </c>
      <c r="C148" s="4">
        <v>0.32916666666666666</v>
      </c>
      <c r="D148" t="s">
        <v>28</v>
      </c>
      <c r="E148" t="s">
        <v>23</v>
      </c>
      <c r="F148" t="s">
        <v>811</v>
      </c>
      <c r="G148">
        <v>33</v>
      </c>
      <c r="H148" t="s">
        <v>849</v>
      </c>
      <c r="I148" t="s">
        <v>38</v>
      </c>
      <c r="J148">
        <v>55</v>
      </c>
      <c r="K148">
        <v>40</v>
      </c>
      <c r="L148">
        <v>3.3</v>
      </c>
      <c r="M148" t="s">
        <v>14</v>
      </c>
      <c r="N148" s="2">
        <v>1183.2</v>
      </c>
      <c r="O148" s="2" t="str">
        <f>IF(EHR_Export[[#This Row],[Arrival Time]]&lt;=TIME(7,0,0), "Night", IF(EHR_Export[[#This Row],[Arrival Time]]&lt;TIME(15,0,0), "Day", "Evening"))</f>
        <v>Day</v>
      </c>
      <c r="P148" cm="1">
        <f t="array" ref="P1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49" spans="1:16" x14ac:dyDescent="0.25">
      <c r="A149" t="s">
        <v>1640</v>
      </c>
      <c r="B149" s="1">
        <v>46040</v>
      </c>
      <c r="C149" s="4">
        <v>0.49652777777777779</v>
      </c>
      <c r="D149" t="s">
        <v>28</v>
      </c>
      <c r="E149" t="s">
        <v>23</v>
      </c>
      <c r="F149" t="s">
        <v>819</v>
      </c>
      <c r="G149">
        <v>52</v>
      </c>
      <c r="H149" t="s">
        <v>847</v>
      </c>
      <c r="I149" t="s">
        <v>38</v>
      </c>
      <c r="J149">
        <v>34</v>
      </c>
      <c r="K149">
        <v>10</v>
      </c>
      <c r="L149">
        <v>2.6</v>
      </c>
      <c r="M149" t="s">
        <v>14</v>
      </c>
      <c r="N149" s="2">
        <v>1070.32</v>
      </c>
      <c r="O149" s="2" t="str">
        <f>IF(EHR_Export[[#This Row],[Arrival Time]]&lt;=TIME(7,0,0), "Night", IF(EHR_Export[[#This Row],[Arrival Time]]&lt;TIME(15,0,0), "Day", "Evening"))</f>
        <v>Day</v>
      </c>
      <c r="P149" cm="1">
        <f t="array" ref="P1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50" spans="1:16" x14ac:dyDescent="0.25">
      <c r="A150" t="s">
        <v>920</v>
      </c>
      <c r="B150" s="1">
        <v>46041</v>
      </c>
      <c r="C150" s="4">
        <v>0.8256944444444444</v>
      </c>
      <c r="D150" t="s">
        <v>48</v>
      </c>
      <c r="E150" t="s">
        <v>42</v>
      </c>
      <c r="F150" t="s">
        <v>98</v>
      </c>
      <c r="G150">
        <v>74</v>
      </c>
      <c r="H150" t="s">
        <v>847</v>
      </c>
      <c r="I150" t="s">
        <v>38</v>
      </c>
      <c r="J150">
        <v>59</v>
      </c>
      <c r="K150">
        <v>58</v>
      </c>
      <c r="L150">
        <v>2.9</v>
      </c>
      <c r="M150" t="s">
        <v>14</v>
      </c>
      <c r="N150" s="2">
        <v>1456.7</v>
      </c>
      <c r="O150" s="2" t="str">
        <f>IF(EHR_Export[[#This Row],[Arrival Time]]&lt;=TIME(7,0,0), "Night", IF(EHR_Export[[#This Row],[Arrival Time]]&lt;TIME(15,0,0), "Day", "Evening"))</f>
        <v>Evening</v>
      </c>
      <c r="P150" cm="1">
        <f t="array" ref="P1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51" spans="1:16" x14ac:dyDescent="0.25">
      <c r="A151" t="s">
        <v>1088</v>
      </c>
      <c r="B151" s="1">
        <v>46041</v>
      </c>
      <c r="C151" s="4">
        <v>0.8256944444444444</v>
      </c>
      <c r="D151" t="s">
        <v>48</v>
      </c>
      <c r="E151" t="s">
        <v>42</v>
      </c>
      <c r="F151" t="s">
        <v>267</v>
      </c>
      <c r="G151">
        <v>11</v>
      </c>
      <c r="H151" t="s">
        <v>849</v>
      </c>
      <c r="I151" t="s">
        <v>38</v>
      </c>
      <c r="J151">
        <v>68</v>
      </c>
      <c r="K151">
        <v>58</v>
      </c>
      <c r="L151">
        <v>4.7</v>
      </c>
      <c r="M151" t="s">
        <v>14</v>
      </c>
      <c r="N151" s="2">
        <v>1602.38</v>
      </c>
      <c r="O151" s="2" t="str">
        <f>IF(EHR_Export[[#This Row],[Arrival Time]]&lt;=TIME(7,0,0), "Night", IF(EHR_Export[[#This Row],[Arrival Time]]&lt;TIME(15,0,0), "Day", "Evening"))</f>
        <v>Evening</v>
      </c>
      <c r="P151" cm="1">
        <f t="array" ref="P1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52" spans="1:16" x14ac:dyDescent="0.25">
      <c r="A152" t="s">
        <v>1143</v>
      </c>
      <c r="B152" s="1">
        <v>46041</v>
      </c>
      <c r="C152" s="4">
        <v>0.75069444444444444</v>
      </c>
      <c r="D152" t="s">
        <v>48</v>
      </c>
      <c r="E152" t="s">
        <v>42</v>
      </c>
      <c r="F152" t="s">
        <v>322</v>
      </c>
      <c r="G152">
        <v>47</v>
      </c>
      <c r="H152" t="s">
        <v>847</v>
      </c>
      <c r="I152" t="s">
        <v>25</v>
      </c>
      <c r="J152">
        <v>67</v>
      </c>
      <c r="K152">
        <v>52</v>
      </c>
      <c r="L152">
        <v>2.5</v>
      </c>
      <c r="M152" t="s">
        <v>14</v>
      </c>
      <c r="N152" s="2">
        <v>946.91</v>
      </c>
      <c r="O152" s="2" t="str">
        <f>IF(EHR_Export[[#This Row],[Arrival Time]]&lt;=TIME(7,0,0), "Night", IF(EHR_Export[[#This Row],[Arrival Time]]&lt;TIME(15,0,0), "Day", "Evening"))</f>
        <v>Evening</v>
      </c>
      <c r="P152" cm="1">
        <f t="array" ref="P1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53" spans="1:16" x14ac:dyDescent="0.25">
      <c r="A153" t="s">
        <v>1150</v>
      </c>
      <c r="B153" s="1">
        <v>46041</v>
      </c>
      <c r="C153" s="4">
        <v>0.1736111111111111</v>
      </c>
      <c r="D153" t="s">
        <v>58</v>
      </c>
      <c r="E153" t="s">
        <v>842</v>
      </c>
      <c r="F153" t="s">
        <v>329</v>
      </c>
      <c r="G153">
        <v>34</v>
      </c>
      <c r="H153" t="s">
        <v>847</v>
      </c>
      <c r="I153" t="s">
        <v>13</v>
      </c>
      <c r="J153">
        <v>50</v>
      </c>
      <c r="K153">
        <v>108</v>
      </c>
      <c r="L153">
        <v>4.0999999999999996</v>
      </c>
      <c r="M153" t="s">
        <v>14</v>
      </c>
      <c r="N153" s="2">
        <v>3368.48</v>
      </c>
      <c r="O153" s="2" t="str">
        <f>IF(EHR_Export[[#This Row],[Arrival Time]]&lt;=TIME(7,0,0), "Night", IF(EHR_Export[[#This Row],[Arrival Time]]&lt;TIME(15,0,0), "Day", "Evening"))</f>
        <v>Night</v>
      </c>
      <c r="P153" cm="1">
        <f t="array" ref="P1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54" spans="1:16" x14ac:dyDescent="0.25">
      <c r="A154" t="s">
        <v>1185</v>
      </c>
      <c r="B154" s="1">
        <v>46041</v>
      </c>
      <c r="C154" s="4">
        <v>0.26180555555555557</v>
      </c>
      <c r="D154" t="s">
        <v>28</v>
      </c>
      <c r="E154" t="s">
        <v>23</v>
      </c>
      <c r="F154" t="s">
        <v>364</v>
      </c>
      <c r="G154">
        <v>150</v>
      </c>
      <c r="H154" t="s">
        <v>849</v>
      </c>
      <c r="I154" t="s">
        <v>38</v>
      </c>
      <c r="J154">
        <v>40</v>
      </c>
      <c r="K154">
        <v>19</v>
      </c>
      <c r="L154">
        <v>4.0999999999999996</v>
      </c>
      <c r="M154" t="s">
        <v>14</v>
      </c>
      <c r="N154" s="2">
        <v>972.68</v>
      </c>
      <c r="O154" s="2" t="str">
        <f>IF(EHR_Export[[#This Row],[Arrival Time]]&lt;=TIME(7,0,0), "Night", IF(EHR_Export[[#This Row],[Arrival Time]]&lt;TIME(15,0,0), "Day", "Evening"))</f>
        <v>Night</v>
      </c>
      <c r="P154" cm="1">
        <f t="array" ref="P1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55" spans="1:16" x14ac:dyDescent="0.25">
      <c r="A155" t="s">
        <v>1217</v>
      </c>
      <c r="B155" s="1">
        <v>46041</v>
      </c>
      <c r="C155" s="4">
        <v>0.72569444444444442</v>
      </c>
      <c r="D155" t="s">
        <v>21</v>
      </c>
      <c r="E155" t="s">
        <v>53</v>
      </c>
      <c r="F155" t="s">
        <v>396</v>
      </c>
      <c r="G155">
        <v>39</v>
      </c>
      <c r="H155" t="s">
        <v>847</v>
      </c>
      <c r="I155" t="s">
        <v>13</v>
      </c>
      <c r="J155">
        <v>72</v>
      </c>
      <c r="K155">
        <v>65</v>
      </c>
      <c r="L155">
        <v>2</v>
      </c>
      <c r="M155" t="s">
        <v>14</v>
      </c>
      <c r="N155" s="2">
        <v>885.64</v>
      </c>
      <c r="O155" s="2" t="str">
        <f>IF(EHR_Export[[#This Row],[Arrival Time]]&lt;=TIME(7,0,0), "Night", IF(EHR_Export[[#This Row],[Arrival Time]]&lt;TIME(15,0,0), "Day", "Evening"))</f>
        <v>Evening</v>
      </c>
      <c r="P155" cm="1">
        <f t="array" ref="P1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156" spans="1:16" x14ac:dyDescent="0.25">
      <c r="A156" t="s">
        <v>1270</v>
      </c>
      <c r="B156" s="1">
        <v>46041</v>
      </c>
      <c r="C156" s="4">
        <v>0.5180555555555556</v>
      </c>
      <c r="D156" t="s">
        <v>126</v>
      </c>
      <c r="E156" t="s">
        <v>46</v>
      </c>
      <c r="F156" t="s">
        <v>449</v>
      </c>
      <c r="G156">
        <v>57</v>
      </c>
      <c r="H156" t="s">
        <v>849</v>
      </c>
      <c r="I156" t="s">
        <v>25</v>
      </c>
      <c r="J156">
        <v>31</v>
      </c>
      <c r="K156">
        <v>35</v>
      </c>
      <c r="L156">
        <v>3.4</v>
      </c>
      <c r="M156" t="s">
        <v>14</v>
      </c>
      <c r="N156" s="2">
        <v>1603.42</v>
      </c>
      <c r="O156" s="2" t="str">
        <f>IF(EHR_Export[[#This Row],[Arrival Time]]&lt;=TIME(7,0,0), "Night", IF(EHR_Export[[#This Row],[Arrival Time]]&lt;TIME(15,0,0), "Day", "Evening"))</f>
        <v>Day</v>
      </c>
      <c r="P156" cm="1">
        <f t="array" ref="P1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57" spans="1:16" x14ac:dyDescent="0.25">
      <c r="A157" t="s">
        <v>1348</v>
      </c>
      <c r="B157" s="1">
        <v>46041</v>
      </c>
      <c r="C157" s="4">
        <v>0.44444444444444442</v>
      </c>
      <c r="D157" t="s">
        <v>126</v>
      </c>
      <c r="E157" t="s">
        <v>46</v>
      </c>
      <c r="F157" t="s">
        <v>527</v>
      </c>
      <c r="G157">
        <v>41</v>
      </c>
      <c r="H157" t="s">
        <v>847</v>
      </c>
      <c r="I157" t="s">
        <v>38</v>
      </c>
      <c r="J157">
        <v>27</v>
      </c>
      <c r="K157">
        <v>40</v>
      </c>
      <c r="L157">
        <v>3.5</v>
      </c>
      <c r="M157" t="s">
        <v>14</v>
      </c>
      <c r="N157" s="2">
        <v>1055.56</v>
      </c>
      <c r="O157" s="2" t="str">
        <f>IF(EHR_Export[[#This Row],[Arrival Time]]&lt;=TIME(7,0,0), "Night", IF(EHR_Export[[#This Row],[Arrival Time]]&lt;TIME(15,0,0), "Day", "Evening"))</f>
        <v>Day</v>
      </c>
      <c r="P157" cm="1">
        <f t="array" ref="P1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58" spans="1:16" x14ac:dyDescent="0.25">
      <c r="A158" t="s">
        <v>1566</v>
      </c>
      <c r="B158" s="1">
        <v>46041</v>
      </c>
      <c r="C158" s="4">
        <v>0.4909722222222222</v>
      </c>
      <c r="D158" t="s">
        <v>28</v>
      </c>
      <c r="E158" t="s">
        <v>23</v>
      </c>
      <c r="F158" t="s">
        <v>745</v>
      </c>
      <c r="G158">
        <v>1</v>
      </c>
      <c r="H158" t="s">
        <v>849</v>
      </c>
      <c r="I158" t="s">
        <v>25</v>
      </c>
      <c r="J158">
        <v>53</v>
      </c>
      <c r="K158">
        <v>18</v>
      </c>
      <c r="L158">
        <v>3.5</v>
      </c>
      <c r="M158" t="s">
        <v>14</v>
      </c>
      <c r="N158" s="2">
        <v>1326.43</v>
      </c>
      <c r="O158" s="2" t="str">
        <f>IF(EHR_Export[[#This Row],[Arrival Time]]&lt;=TIME(7,0,0), "Night", IF(EHR_Export[[#This Row],[Arrival Time]]&lt;TIME(15,0,0), "Day", "Evening"))</f>
        <v>Day</v>
      </c>
      <c r="P158" cm="1">
        <f t="array" ref="P1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59" spans="1:16" x14ac:dyDescent="0.25">
      <c r="A159" t="s">
        <v>1606</v>
      </c>
      <c r="B159" s="1">
        <v>46041</v>
      </c>
      <c r="C159" s="4">
        <v>0.64097222222222228</v>
      </c>
      <c r="D159" t="s">
        <v>58</v>
      </c>
      <c r="E159" t="s">
        <v>842</v>
      </c>
      <c r="F159" t="s">
        <v>785</v>
      </c>
      <c r="G159">
        <v>48</v>
      </c>
      <c r="H159" t="s">
        <v>847</v>
      </c>
      <c r="I159" t="s">
        <v>38</v>
      </c>
      <c r="J159">
        <v>53</v>
      </c>
      <c r="K159">
        <v>81</v>
      </c>
      <c r="L159">
        <v>3.2</v>
      </c>
      <c r="M159" t="s">
        <v>14</v>
      </c>
      <c r="N159" s="2">
        <v>4630.91</v>
      </c>
      <c r="O159" s="2" t="str">
        <f>IF(EHR_Export[[#This Row],[Arrival Time]]&lt;=TIME(7,0,0), "Night", IF(EHR_Export[[#This Row],[Arrival Time]]&lt;TIME(15,0,0), "Day", "Evening"))</f>
        <v>Evening</v>
      </c>
      <c r="P159" cm="1">
        <f t="array" ref="P1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60" spans="1:16" x14ac:dyDescent="0.25">
      <c r="A160" t="s">
        <v>1619</v>
      </c>
      <c r="B160" s="1">
        <v>46041</v>
      </c>
      <c r="C160" s="4">
        <v>0.5180555555555556</v>
      </c>
      <c r="D160" t="s">
        <v>28</v>
      </c>
      <c r="E160" t="s">
        <v>23</v>
      </c>
      <c r="F160" t="s">
        <v>798</v>
      </c>
      <c r="G160">
        <v>56</v>
      </c>
      <c r="H160" t="s">
        <v>847</v>
      </c>
      <c r="I160" t="s">
        <v>25</v>
      </c>
      <c r="J160">
        <v>41</v>
      </c>
      <c r="K160">
        <v>50</v>
      </c>
      <c r="L160">
        <v>3.4</v>
      </c>
      <c r="M160" t="s">
        <v>14</v>
      </c>
      <c r="N160" s="2">
        <v>544.92999999999995</v>
      </c>
      <c r="O160" s="2" t="str">
        <f>IF(EHR_Export[[#This Row],[Arrival Time]]&lt;=TIME(7,0,0), "Night", IF(EHR_Export[[#This Row],[Arrival Time]]&lt;TIME(15,0,0), "Day", "Evening"))</f>
        <v>Day</v>
      </c>
      <c r="P160" cm="1">
        <f t="array" ref="P1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61" spans="1:16" x14ac:dyDescent="0.25">
      <c r="A161" t="s">
        <v>997</v>
      </c>
      <c r="B161" s="1">
        <v>46042</v>
      </c>
      <c r="C161" s="4">
        <v>0.52430555555555558</v>
      </c>
      <c r="D161" t="s">
        <v>28</v>
      </c>
      <c r="E161" t="s">
        <v>23</v>
      </c>
      <c r="F161" t="s">
        <v>176</v>
      </c>
      <c r="G161">
        <v>38</v>
      </c>
      <c r="H161" t="s">
        <v>847</v>
      </c>
      <c r="I161" t="s">
        <v>25</v>
      </c>
      <c r="J161">
        <v>53</v>
      </c>
      <c r="K161">
        <v>39</v>
      </c>
      <c r="L161">
        <v>3.7</v>
      </c>
      <c r="M161" t="s">
        <v>14</v>
      </c>
      <c r="N161" s="2">
        <v>1646.93</v>
      </c>
      <c r="O161" s="2" t="str">
        <f>IF(EHR_Export[[#This Row],[Arrival Time]]&lt;=TIME(7,0,0), "Night", IF(EHR_Export[[#This Row],[Arrival Time]]&lt;TIME(15,0,0), "Day", "Evening"))</f>
        <v>Day</v>
      </c>
      <c r="P161" cm="1">
        <f t="array" ref="P1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62" spans="1:16" x14ac:dyDescent="0.25">
      <c r="A162" t="s">
        <v>1170</v>
      </c>
      <c r="B162" s="1">
        <v>46042</v>
      </c>
      <c r="C162" s="4">
        <v>0.6430555555555556</v>
      </c>
      <c r="D162" t="s">
        <v>48</v>
      </c>
      <c r="E162" t="s">
        <v>42</v>
      </c>
      <c r="F162" t="s">
        <v>349</v>
      </c>
      <c r="G162">
        <v>32</v>
      </c>
      <c r="H162" t="s">
        <v>847</v>
      </c>
      <c r="I162" t="s">
        <v>38</v>
      </c>
      <c r="J162">
        <v>36</v>
      </c>
      <c r="K162">
        <v>32</v>
      </c>
      <c r="L162">
        <v>4</v>
      </c>
      <c r="M162" t="s">
        <v>14</v>
      </c>
      <c r="N162" s="2">
        <v>1655.64</v>
      </c>
      <c r="O162" s="2" t="str">
        <f>IF(EHR_Export[[#This Row],[Arrival Time]]&lt;=TIME(7,0,0), "Night", IF(EHR_Export[[#This Row],[Arrival Time]]&lt;TIME(15,0,0), "Day", "Evening"))</f>
        <v>Evening</v>
      </c>
      <c r="P162" cm="1">
        <f t="array" ref="P1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63" spans="1:16" x14ac:dyDescent="0.25">
      <c r="A163" t="s">
        <v>1206</v>
      </c>
      <c r="B163" s="1">
        <v>46042</v>
      </c>
      <c r="C163" s="4">
        <v>5.2777777777777778E-2</v>
      </c>
      <c r="D163" t="s">
        <v>21</v>
      </c>
      <c r="E163" t="s">
        <v>53</v>
      </c>
      <c r="F163" t="s">
        <v>385</v>
      </c>
      <c r="G163">
        <v>22</v>
      </c>
      <c r="H163" t="s">
        <v>849</v>
      </c>
      <c r="I163" t="s">
        <v>25</v>
      </c>
      <c r="J163">
        <v>11</v>
      </c>
      <c r="K163">
        <v>37</v>
      </c>
      <c r="L163">
        <v>3.7</v>
      </c>
      <c r="M163" t="s">
        <v>14</v>
      </c>
      <c r="N163" s="2">
        <v>858.69</v>
      </c>
      <c r="O163" s="2" t="str">
        <f>IF(EHR_Export[[#This Row],[Arrival Time]]&lt;=TIME(7,0,0), "Night", IF(EHR_Export[[#This Row],[Arrival Time]]&lt;TIME(15,0,0), "Day", "Evening"))</f>
        <v>Night</v>
      </c>
      <c r="P163" cm="1">
        <f t="array" ref="P1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64" spans="1:16" x14ac:dyDescent="0.25">
      <c r="A164" t="s">
        <v>1234</v>
      </c>
      <c r="B164" s="1">
        <v>46042</v>
      </c>
      <c r="C164" s="4">
        <v>0.39444444444444443</v>
      </c>
      <c r="D164" t="s">
        <v>28</v>
      </c>
      <c r="E164" t="s">
        <v>23</v>
      </c>
      <c r="F164" t="s">
        <v>413</v>
      </c>
      <c r="G164">
        <v>83</v>
      </c>
      <c r="H164" t="s">
        <v>847</v>
      </c>
      <c r="I164" t="s">
        <v>34</v>
      </c>
      <c r="J164">
        <v>67</v>
      </c>
      <c r="K164">
        <v>31</v>
      </c>
      <c r="M164" t="s">
        <v>14</v>
      </c>
      <c r="N164" s="2">
        <v>892.6</v>
      </c>
      <c r="O164" s="2" t="str">
        <f>IF(EHR_Export[[#This Row],[Arrival Time]]&lt;=TIME(7,0,0), "Night", IF(EHR_Export[[#This Row],[Arrival Time]]&lt;TIME(15,0,0), "Day", "Evening"))</f>
        <v>Day</v>
      </c>
      <c r="P164" cm="1">
        <f t="array" ref="P1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65" spans="1:16" x14ac:dyDescent="0.25">
      <c r="A165" t="s">
        <v>1333</v>
      </c>
      <c r="B165" s="1">
        <v>46042</v>
      </c>
      <c r="C165" s="4">
        <v>0.33611111111111114</v>
      </c>
      <c r="D165" t="s">
        <v>28</v>
      </c>
      <c r="E165" t="s">
        <v>23</v>
      </c>
      <c r="F165" t="s">
        <v>512</v>
      </c>
      <c r="G165">
        <v>87</v>
      </c>
      <c r="H165" t="s">
        <v>847</v>
      </c>
      <c r="I165" t="s">
        <v>13</v>
      </c>
      <c r="J165">
        <v>45</v>
      </c>
      <c r="K165">
        <v>23</v>
      </c>
      <c r="L165">
        <v>3.9</v>
      </c>
      <c r="M165" t="s">
        <v>14</v>
      </c>
      <c r="N165" s="2">
        <v>1061.6099999999999</v>
      </c>
      <c r="O165" s="2" t="str">
        <f>IF(EHR_Export[[#This Row],[Arrival Time]]&lt;=TIME(7,0,0), "Night", IF(EHR_Export[[#This Row],[Arrival Time]]&lt;TIME(15,0,0), "Day", "Evening"))</f>
        <v>Day</v>
      </c>
      <c r="P165" cm="1">
        <f t="array" ref="P1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66" spans="1:16" x14ac:dyDescent="0.25">
      <c r="A166" t="s">
        <v>1354</v>
      </c>
      <c r="B166" s="1">
        <v>46042</v>
      </c>
      <c r="C166" s="4">
        <v>0.43680555555555556</v>
      </c>
      <c r="D166" t="s">
        <v>58</v>
      </c>
      <c r="E166" t="s">
        <v>842</v>
      </c>
      <c r="F166" t="s">
        <v>533</v>
      </c>
      <c r="G166">
        <v>36</v>
      </c>
      <c r="H166" t="s">
        <v>849</v>
      </c>
      <c r="I166" t="s">
        <v>13</v>
      </c>
      <c r="J166">
        <v>47</v>
      </c>
      <c r="K166">
        <v>79</v>
      </c>
      <c r="L166">
        <v>2.7</v>
      </c>
      <c r="M166" t="s">
        <v>14</v>
      </c>
      <c r="N166" s="2">
        <v>3918.75</v>
      </c>
      <c r="O166" s="2" t="str">
        <f>IF(EHR_Export[[#This Row],[Arrival Time]]&lt;=TIME(7,0,0), "Night", IF(EHR_Export[[#This Row],[Arrival Time]]&lt;TIME(15,0,0), "Day", "Evening"))</f>
        <v>Day</v>
      </c>
      <c r="P166" cm="1">
        <f t="array" ref="P1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67" spans="1:16" x14ac:dyDescent="0.25">
      <c r="A167" t="s">
        <v>1367</v>
      </c>
      <c r="B167" s="1">
        <v>46042</v>
      </c>
      <c r="C167" s="4">
        <v>0.64583333333333337</v>
      </c>
      <c r="D167" t="s">
        <v>28</v>
      </c>
      <c r="E167" t="s">
        <v>23</v>
      </c>
      <c r="F167" t="s">
        <v>546</v>
      </c>
      <c r="G167">
        <v>2</v>
      </c>
      <c r="H167" t="s">
        <v>849</v>
      </c>
      <c r="I167" t="s">
        <v>34</v>
      </c>
      <c r="J167">
        <v>29</v>
      </c>
      <c r="K167">
        <v>37</v>
      </c>
      <c r="L167">
        <v>3</v>
      </c>
      <c r="M167" t="s">
        <v>14</v>
      </c>
      <c r="N167" s="2">
        <v>785.57</v>
      </c>
      <c r="O167" s="2" t="str">
        <f>IF(EHR_Export[[#This Row],[Arrival Time]]&lt;=TIME(7,0,0), "Night", IF(EHR_Export[[#This Row],[Arrival Time]]&lt;TIME(15,0,0), "Day", "Evening"))</f>
        <v>Evening</v>
      </c>
      <c r="P167" cm="1">
        <f t="array" ref="P1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68" spans="1:16" x14ac:dyDescent="0.25">
      <c r="A168" t="s">
        <v>1371</v>
      </c>
      <c r="B168" s="1">
        <v>46042</v>
      </c>
      <c r="C168" s="4">
        <v>0.75486111111111109</v>
      </c>
      <c r="D168" t="s">
        <v>28</v>
      </c>
      <c r="E168" t="s">
        <v>23</v>
      </c>
      <c r="F168" t="s">
        <v>550</v>
      </c>
      <c r="G168">
        <v>18</v>
      </c>
      <c r="H168" t="s">
        <v>849</v>
      </c>
      <c r="I168" t="s">
        <v>34</v>
      </c>
      <c r="J168">
        <v>55</v>
      </c>
      <c r="K168">
        <v>16</v>
      </c>
      <c r="L168">
        <v>3.9</v>
      </c>
      <c r="M168" t="s">
        <v>14</v>
      </c>
      <c r="N168" s="2">
        <v>822.28</v>
      </c>
      <c r="O168" s="2" t="str">
        <f>IF(EHR_Export[[#This Row],[Arrival Time]]&lt;=TIME(7,0,0), "Night", IF(EHR_Export[[#This Row],[Arrival Time]]&lt;TIME(15,0,0), "Day", "Evening"))</f>
        <v>Evening</v>
      </c>
      <c r="P168" cm="1">
        <f t="array" ref="P1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69" spans="1:16" x14ac:dyDescent="0.25">
      <c r="A169" t="s">
        <v>1383</v>
      </c>
      <c r="B169" s="1">
        <v>46042</v>
      </c>
      <c r="C169" s="4">
        <v>0.34652777777777777</v>
      </c>
      <c r="D169" t="s">
        <v>28</v>
      </c>
      <c r="E169" t="s">
        <v>23</v>
      </c>
      <c r="F169" t="s">
        <v>562</v>
      </c>
      <c r="G169">
        <v>1</v>
      </c>
      <c r="H169" t="s">
        <v>849</v>
      </c>
      <c r="I169" t="s">
        <v>25</v>
      </c>
      <c r="J169">
        <v>46</v>
      </c>
      <c r="K169">
        <v>50</v>
      </c>
      <c r="L169">
        <v>3.2</v>
      </c>
      <c r="M169" t="s">
        <v>18</v>
      </c>
      <c r="N169" s="2">
        <v>686.96</v>
      </c>
      <c r="O169" s="2" t="str">
        <f>IF(EHR_Export[[#This Row],[Arrival Time]]&lt;=TIME(7,0,0), "Night", IF(EHR_Export[[#This Row],[Arrival Time]]&lt;TIME(15,0,0), "Day", "Evening"))</f>
        <v>Day</v>
      </c>
      <c r="P169" cm="1">
        <f t="array" ref="P1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70" spans="1:16" x14ac:dyDescent="0.25">
      <c r="A170" t="s">
        <v>1371</v>
      </c>
      <c r="B170" s="1">
        <v>46042</v>
      </c>
      <c r="C170" s="4">
        <v>0.75486111111111109</v>
      </c>
      <c r="D170" t="s">
        <v>28</v>
      </c>
      <c r="E170" t="s">
        <v>23</v>
      </c>
      <c r="F170" t="s">
        <v>550</v>
      </c>
      <c r="G170">
        <v>18</v>
      </c>
      <c r="H170" t="s">
        <v>849</v>
      </c>
      <c r="I170" t="s">
        <v>34</v>
      </c>
      <c r="J170">
        <v>55</v>
      </c>
      <c r="K170">
        <v>16</v>
      </c>
      <c r="L170">
        <v>3.9</v>
      </c>
      <c r="M170" t="s">
        <v>14</v>
      </c>
      <c r="N170" s="2">
        <v>822.28</v>
      </c>
      <c r="O170" s="2" t="str">
        <f>IF(EHR_Export[[#This Row],[Arrival Time]]&lt;=TIME(7,0,0), "Night", IF(EHR_Export[[#This Row],[Arrival Time]]&lt;TIME(15,0,0), "Day", "Evening"))</f>
        <v>Evening</v>
      </c>
      <c r="P170" cm="1">
        <f t="array" ref="P1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71" spans="1:16" x14ac:dyDescent="0.25">
      <c r="A171" t="s">
        <v>1476</v>
      </c>
      <c r="B171" s="1">
        <v>46042</v>
      </c>
      <c r="C171" s="4">
        <v>0.54652777777777772</v>
      </c>
      <c r="D171" t="s">
        <v>48</v>
      </c>
      <c r="E171" t="s">
        <v>42</v>
      </c>
      <c r="F171" t="s">
        <v>655</v>
      </c>
      <c r="G171">
        <v>46</v>
      </c>
      <c r="H171" t="s">
        <v>847</v>
      </c>
      <c r="I171" t="s">
        <v>25</v>
      </c>
      <c r="J171">
        <v>64</v>
      </c>
      <c r="K171">
        <v>61</v>
      </c>
      <c r="L171">
        <v>2.8</v>
      </c>
      <c r="M171" t="s">
        <v>14</v>
      </c>
      <c r="N171" s="2">
        <v>2158.9699999999998</v>
      </c>
      <c r="O171" s="2" t="str">
        <f>IF(EHR_Export[[#This Row],[Arrival Time]]&lt;=TIME(7,0,0), "Night", IF(EHR_Export[[#This Row],[Arrival Time]]&lt;TIME(15,0,0), "Day", "Evening"))</f>
        <v>Day</v>
      </c>
      <c r="P171" cm="1">
        <f t="array" ref="P1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172" spans="1:16" x14ac:dyDescent="0.25">
      <c r="A172" t="s">
        <v>1508</v>
      </c>
      <c r="B172" s="1">
        <v>46042</v>
      </c>
      <c r="C172" s="4">
        <v>0.55763888888888891</v>
      </c>
      <c r="D172" t="s">
        <v>28</v>
      </c>
      <c r="E172" t="s">
        <v>23</v>
      </c>
      <c r="F172" t="s">
        <v>687</v>
      </c>
      <c r="G172">
        <v>41</v>
      </c>
      <c r="H172" t="s">
        <v>847</v>
      </c>
      <c r="I172" t="s">
        <v>38</v>
      </c>
      <c r="J172">
        <v>31</v>
      </c>
      <c r="K172">
        <v>66</v>
      </c>
      <c r="L172">
        <v>4.7</v>
      </c>
      <c r="M172" t="s">
        <v>14</v>
      </c>
      <c r="N172" s="2">
        <v>937.16</v>
      </c>
      <c r="O172" s="2" t="str">
        <f>IF(EHR_Export[[#This Row],[Arrival Time]]&lt;=TIME(7,0,0), "Night", IF(EHR_Export[[#This Row],[Arrival Time]]&lt;TIME(15,0,0), "Day", "Evening"))</f>
        <v>Day</v>
      </c>
      <c r="P172" cm="1">
        <f t="array" ref="P1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73" spans="1:16" x14ac:dyDescent="0.25">
      <c r="A173" t="s">
        <v>1054</v>
      </c>
      <c r="B173" s="1">
        <v>46043</v>
      </c>
      <c r="C173" s="4">
        <v>0.90069444444444446</v>
      </c>
      <c r="D173" t="s">
        <v>48</v>
      </c>
      <c r="E173" t="s">
        <v>42</v>
      </c>
      <c r="F173" t="s">
        <v>233</v>
      </c>
      <c r="G173">
        <v>72</v>
      </c>
      <c r="H173" t="s">
        <v>849</v>
      </c>
      <c r="I173" t="s">
        <v>38</v>
      </c>
      <c r="J173">
        <v>59</v>
      </c>
      <c r="K173">
        <v>57</v>
      </c>
      <c r="L173">
        <v>4.3</v>
      </c>
      <c r="M173" t="s">
        <v>14</v>
      </c>
      <c r="N173" s="2">
        <v>1394.38</v>
      </c>
      <c r="O173" s="2" t="str">
        <f>IF(EHR_Export[[#This Row],[Arrival Time]]&lt;=TIME(7,0,0), "Night", IF(EHR_Export[[#This Row],[Arrival Time]]&lt;TIME(15,0,0), "Day", "Evening"))</f>
        <v>Evening</v>
      </c>
      <c r="P173" cm="1">
        <f t="array" ref="P1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74" spans="1:16" x14ac:dyDescent="0.25">
      <c r="A174" t="s">
        <v>1068</v>
      </c>
      <c r="B174" s="1">
        <v>46043</v>
      </c>
      <c r="C174" s="4">
        <v>0.53749999999999998</v>
      </c>
      <c r="D174" t="s">
        <v>58</v>
      </c>
      <c r="E174" t="s">
        <v>842</v>
      </c>
      <c r="F174" t="s">
        <v>247</v>
      </c>
      <c r="G174">
        <v>83</v>
      </c>
      <c r="H174" t="s">
        <v>847</v>
      </c>
      <c r="I174" t="s">
        <v>25</v>
      </c>
      <c r="J174">
        <v>40</v>
      </c>
      <c r="K174">
        <v>83</v>
      </c>
      <c r="L174">
        <v>4.2</v>
      </c>
      <c r="N174" s="2">
        <v>3469.01</v>
      </c>
      <c r="O174" s="2" t="str">
        <f>IF(EHR_Export[[#This Row],[Arrival Time]]&lt;=TIME(7,0,0), "Night", IF(EHR_Export[[#This Row],[Arrival Time]]&lt;TIME(15,0,0), "Day", "Evening"))</f>
        <v>Day</v>
      </c>
      <c r="P174" cm="1">
        <f t="array" ref="P1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75" spans="1:16" x14ac:dyDescent="0.25">
      <c r="A175" t="s">
        <v>1071</v>
      </c>
      <c r="B175" s="1">
        <v>46043</v>
      </c>
      <c r="C175" s="4">
        <v>0.95972222222222225</v>
      </c>
      <c r="D175" t="s">
        <v>28</v>
      </c>
      <c r="E175" t="s">
        <v>23</v>
      </c>
      <c r="F175" t="s">
        <v>250</v>
      </c>
      <c r="G175">
        <v>65</v>
      </c>
      <c r="H175" t="s">
        <v>847</v>
      </c>
      <c r="I175" t="s">
        <v>25</v>
      </c>
      <c r="J175">
        <v>44</v>
      </c>
      <c r="K175">
        <v>44</v>
      </c>
      <c r="L175">
        <v>2.8</v>
      </c>
      <c r="M175" t="s">
        <v>14</v>
      </c>
      <c r="N175" s="2">
        <v>775.38</v>
      </c>
      <c r="O175" s="2" t="str">
        <f>IF(EHR_Export[[#This Row],[Arrival Time]]&lt;=TIME(7,0,0), "Night", IF(EHR_Export[[#This Row],[Arrival Time]]&lt;TIME(15,0,0), "Day", "Evening"))</f>
        <v>Evening</v>
      </c>
      <c r="P175" cm="1">
        <f t="array" ref="P1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176" spans="1:16" x14ac:dyDescent="0.25">
      <c r="A176" t="s">
        <v>1100</v>
      </c>
      <c r="B176" s="1">
        <v>46043</v>
      </c>
      <c r="C176" s="4">
        <v>0.86250000000000004</v>
      </c>
      <c r="D176" t="s">
        <v>28</v>
      </c>
      <c r="E176" t="s">
        <v>23</v>
      </c>
      <c r="F176" t="s">
        <v>279</v>
      </c>
      <c r="G176">
        <v>71</v>
      </c>
      <c r="H176" t="s">
        <v>849</v>
      </c>
      <c r="I176" t="s">
        <v>38</v>
      </c>
      <c r="J176">
        <v>15</v>
      </c>
      <c r="K176">
        <v>12</v>
      </c>
      <c r="L176">
        <v>4.7</v>
      </c>
      <c r="M176" t="s">
        <v>14</v>
      </c>
      <c r="N176" s="2">
        <v>1059.76</v>
      </c>
      <c r="O176" s="2" t="str">
        <f>IF(EHR_Export[[#This Row],[Arrival Time]]&lt;=TIME(7,0,0), "Night", IF(EHR_Export[[#This Row],[Arrival Time]]&lt;TIME(15,0,0), "Day", "Evening"))</f>
        <v>Evening</v>
      </c>
      <c r="P176" cm="1">
        <f t="array" ref="P1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177" spans="1:16" x14ac:dyDescent="0.25">
      <c r="A177" t="s">
        <v>1373</v>
      </c>
      <c r="B177" s="1">
        <v>46043</v>
      </c>
      <c r="C177" s="4">
        <v>0.61388888888888893</v>
      </c>
      <c r="D177" t="s">
        <v>58</v>
      </c>
      <c r="E177" t="s">
        <v>842</v>
      </c>
      <c r="F177" t="s">
        <v>552</v>
      </c>
      <c r="G177">
        <v>31</v>
      </c>
      <c r="H177" t="s">
        <v>847</v>
      </c>
      <c r="I177" t="s">
        <v>34</v>
      </c>
      <c r="J177">
        <v>68</v>
      </c>
      <c r="K177">
        <v>91</v>
      </c>
      <c r="L177">
        <v>3.7</v>
      </c>
      <c r="M177" t="s">
        <v>14</v>
      </c>
      <c r="N177" s="2">
        <v>3967.23</v>
      </c>
      <c r="O177" s="2" t="str">
        <f>IF(EHR_Export[[#This Row],[Arrival Time]]&lt;=TIME(7,0,0), "Night", IF(EHR_Export[[#This Row],[Arrival Time]]&lt;TIME(15,0,0), "Day", "Evening"))</f>
        <v>Day</v>
      </c>
      <c r="P177" cm="1">
        <f t="array" ref="P1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78" spans="1:16" x14ac:dyDescent="0.25">
      <c r="A178" t="s">
        <v>1460</v>
      </c>
      <c r="B178" s="1">
        <v>46043</v>
      </c>
      <c r="C178" s="4">
        <v>0.44374999999999998</v>
      </c>
      <c r="D178" t="s">
        <v>28</v>
      </c>
      <c r="E178" t="s">
        <v>23</v>
      </c>
      <c r="F178" t="s">
        <v>639</v>
      </c>
      <c r="G178">
        <v>25</v>
      </c>
      <c r="H178" t="s">
        <v>849</v>
      </c>
      <c r="I178" t="s">
        <v>13</v>
      </c>
      <c r="J178">
        <v>55</v>
      </c>
      <c r="K178">
        <v>22</v>
      </c>
      <c r="L178">
        <v>3.4</v>
      </c>
      <c r="M178" t="s">
        <v>14</v>
      </c>
      <c r="N178" s="2">
        <v>944.43</v>
      </c>
      <c r="O178" s="2" t="str">
        <f>IF(EHR_Export[[#This Row],[Arrival Time]]&lt;=TIME(7,0,0), "Night", IF(EHR_Export[[#This Row],[Arrival Time]]&lt;TIME(15,0,0), "Day", "Evening"))</f>
        <v>Day</v>
      </c>
      <c r="P178" cm="1">
        <f t="array" ref="P1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179" spans="1:16" x14ac:dyDescent="0.25">
      <c r="A179" t="s">
        <v>1572</v>
      </c>
      <c r="B179" s="1">
        <v>46043</v>
      </c>
      <c r="C179" s="4">
        <v>2.5694444444444443E-2</v>
      </c>
      <c r="D179" t="s">
        <v>28</v>
      </c>
      <c r="E179" t="s">
        <v>23</v>
      </c>
      <c r="F179" t="s">
        <v>751</v>
      </c>
      <c r="G179">
        <v>84</v>
      </c>
      <c r="H179" t="s">
        <v>847</v>
      </c>
      <c r="I179" t="s">
        <v>34</v>
      </c>
      <c r="J179">
        <v>61</v>
      </c>
      <c r="K179">
        <v>42</v>
      </c>
      <c r="L179">
        <v>3.6</v>
      </c>
      <c r="M179" t="s">
        <v>14</v>
      </c>
      <c r="N179" s="2">
        <v>844.47</v>
      </c>
      <c r="O179" s="2" t="str">
        <f>IF(EHR_Export[[#This Row],[Arrival Time]]&lt;=TIME(7,0,0), "Night", IF(EHR_Export[[#This Row],[Arrival Time]]&lt;TIME(15,0,0), "Day", "Evening"))</f>
        <v>Night</v>
      </c>
      <c r="P179" cm="1">
        <f t="array" ref="P1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80" spans="1:16" x14ac:dyDescent="0.25">
      <c r="A180" t="s">
        <v>851</v>
      </c>
      <c r="B180" s="1">
        <v>46044</v>
      </c>
      <c r="C180" s="4">
        <v>0.61111111111111116</v>
      </c>
      <c r="D180" t="s">
        <v>58</v>
      </c>
      <c r="E180" t="s">
        <v>842</v>
      </c>
      <c r="F180" t="s">
        <v>17</v>
      </c>
      <c r="G180">
        <v>24</v>
      </c>
      <c r="H180" t="s">
        <v>849</v>
      </c>
      <c r="I180" t="s">
        <v>34</v>
      </c>
      <c r="J180">
        <v>52</v>
      </c>
      <c r="K180">
        <v>79</v>
      </c>
      <c r="L180">
        <v>3.8</v>
      </c>
      <c r="M180" t="s">
        <v>18</v>
      </c>
      <c r="N180" s="2">
        <v>3124.41</v>
      </c>
      <c r="O180" s="2" t="str">
        <f>IF(EHR_Export[[#This Row],[Arrival Time]]&lt;=TIME(7,0,0), "Night", IF(EHR_Export[[#This Row],[Arrival Time]]&lt;TIME(15,0,0), "Day", "Evening"))</f>
        <v>Day</v>
      </c>
      <c r="P180" cm="1">
        <f t="array" ref="P1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81" spans="1:16" x14ac:dyDescent="0.25">
      <c r="A181" t="s">
        <v>1006</v>
      </c>
      <c r="B181" s="1">
        <v>46044</v>
      </c>
      <c r="C181" s="4">
        <v>0.69097222222222221</v>
      </c>
      <c r="D181" t="s">
        <v>28</v>
      </c>
      <c r="E181" t="s">
        <v>23</v>
      </c>
      <c r="F181" t="s">
        <v>185</v>
      </c>
      <c r="G181">
        <v>43</v>
      </c>
      <c r="H181" t="s">
        <v>849</v>
      </c>
      <c r="I181" t="s">
        <v>34</v>
      </c>
      <c r="J181">
        <v>86</v>
      </c>
      <c r="K181">
        <v>24</v>
      </c>
      <c r="L181">
        <v>3.6</v>
      </c>
      <c r="M181" t="s">
        <v>14</v>
      </c>
      <c r="N181" s="2">
        <v>758.99</v>
      </c>
      <c r="O181" s="2" t="str">
        <f>IF(EHR_Export[[#This Row],[Arrival Time]]&lt;=TIME(7,0,0), "Night", IF(EHR_Export[[#This Row],[Arrival Time]]&lt;TIME(15,0,0), "Day", "Evening"))</f>
        <v>Evening</v>
      </c>
      <c r="P181" cm="1">
        <f t="array" ref="P1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82" spans="1:16" x14ac:dyDescent="0.25">
      <c r="A182" t="s">
        <v>1056</v>
      </c>
      <c r="B182" s="1">
        <v>46044</v>
      </c>
      <c r="C182" s="4">
        <v>0.75347222222222221</v>
      </c>
      <c r="D182" t="s">
        <v>58</v>
      </c>
      <c r="E182" t="s">
        <v>842</v>
      </c>
      <c r="F182" t="s">
        <v>235</v>
      </c>
      <c r="G182">
        <v>41</v>
      </c>
      <c r="H182" t="s">
        <v>849</v>
      </c>
      <c r="I182" t="s">
        <v>13</v>
      </c>
      <c r="J182">
        <v>90</v>
      </c>
      <c r="K182">
        <v>107</v>
      </c>
      <c r="L182">
        <v>3.2</v>
      </c>
      <c r="M182" t="s">
        <v>14</v>
      </c>
      <c r="N182" s="2">
        <v>4531.47</v>
      </c>
      <c r="O182" s="2" t="str">
        <f>IF(EHR_Export[[#This Row],[Arrival Time]]&lt;=TIME(7,0,0), "Night", IF(EHR_Export[[#This Row],[Arrival Time]]&lt;TIME(15,0,0), "Day", "Evening"))</f>
        <v>Evening</v>
      </c>
      <c r="P182" cm="1">
        <f t="array" ref="P1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83" spans="1:16" x14ac:dyDescent="0.25">
      <c r="A183" t="s">
        <v>1066</v>
      </c>
      <c r="B183" s="1">
        <v>46044</v>
      </c>
      <c r="C183" s="4">
        <v>0.39791666666666664</v>
      </c>
      <c r="D183" t="s">
        <v>126</v>
      </c>
      <c r="E183" t="s">
        <v>46</v>
      </c>
      <c r="F183" t="s">
        <v>245</v>
      </c>
      <c r="G183">
        <v>74</v>
      </c>
      <c r="H183" t="s">
        <v>847</v>
      </c>
      <c r="I183" t="s">
        <v>25</v>
      </c>
      <c r="J183">
        <v>26</v>
      </c>
      <c r="K183">
        <v>54</v>
      </c>
      <c r="L183">
        <v>3.4</v>
      </c>
      <c r="N183" s="2">
        <v>983.45</v>
      </c>
      <c r="O183" s="2" t="str">
        <f>IF(EHR_Export[[#This Row],[Arrival Time]]&lt;=TIME(7,0,0), "Night", IF(EHR_Export[[#This Row],[Arrival Time]]&lt;TIME(15,0,0), "Day", "Evening"))</f>
        <v>Day</v>
      </c>
      <c r="P183" cm="1">
        <f t="array" ref="P1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84" spans="1:16" x14ac:dyDescent="0.25">
      <c r="A184" t="s">
        <v>1252</v>
      </c>
      <c r="B184" s="1">
        <v>46044</v>
      </c>
      <c r="C184" s="4">
        <v>0.70833333333333337</v>
      </c>
      <c r="D184" t="s">
        <v>28</v>
      </c>
      <c r="E184" t="s">
        <v>23</v>
      </c>
      <c r="F184" t="s">
        <v>431</v>
      </c>
      <c r="G184">
        <v>54</v>
      </c>
      <c r="H184" t="s">
        <v>847</v>
      </c>
      <c r="I184" t="s">
        <v>34</v>
      </c>
      <c r="J184">
        <v>61</v>
      </c>
      <c r="K184">
        <v>37</v>
      </c>
      <c r="L184">
        <v>3.3</v>
      </c>
      <c r="M184" t="s">
        <v>18</v>
      </c>
      <c r="N184" s="2">
        <v>895.07</v>
      </c>
      <c r="O184" s="2" t="str">
        <f>IF(EHR_Export[[#This Row],[Arrival Time]]&lt;=TIME(7,0,0), "Night", IF(EHR_Export[[#This Row],[Arrival Time]]&lt;TIME(15,0,0), "Day", "Evening"))</f>
        <v>Evening</v>
      </c>
      <c r="P184" cm="1">
        <f t="array" ref="P1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85" spans="1:16" x14ac:dyDescent="0.25">
      <c r="A185" t="s">
        <v>1561</v>
      </c>
      <c r="B185" s="1">
        <v>46044</v>
      </c>
      <c r="C185" s="4">
        <v>0.41736111111111113</v>
      </c>
      <c r="D185" t="s">
        <v>58</v>
      </c>
      <c r="E185" t="s">
        <v>842</v>
      </c>
      <c r="F185" t="s">
        <v>740</v>
      </c>
      <c r="G185">
        <v>67</v>
      </c>
      <c r="H185" t="s">
        <v>849</v>
      </c>
      <c r="I185" t="s">
        <v>34</v>
      </c>
      <c r="J185">
        <v>43</v>
      </c>
      <c r="K185">
        <v>49</v>
      </c>
      <c r="L185">
        <v>4.0999999999999996</v>
      </c>
      <c r="M185" t="s">
        <v>14</v>
      </c>
      <c r="N185" s="2">
        <v>3682.43</v>
      </c>
      <c r="O185" s="2" t="str">
        <f>IF(EHR_Export[[#This Row],[Arrival Time]]&lt;=TIME(7,0,0), "Night", IF(EHR_Export[[#This Row],[Arrival Time]]&lt;TIME(15,0,0), "Day", "Evening"))</f>
        <v>Day</v>
      </c>
      <c r="P185" cm="1">
        <f t="array" ref="P1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86" spans="1:16" x14ac:dyDescent="0.25">
      <c r="A186" t="s">
        <v>1612</v>
      </c>
      <c r="B186" s="1">
        <v>46044</v>
      </c>
      <c r="C186" s="4">
        <v>0.7006944444444444</v>
      </c>
      <c r="D186" t="s">
        <v>126</v>
      </c>
      <c r="E186" t="s">
        <v>46</v>
      </c>
      <c r="F186" t="s">
        <v>791</v>
      </c>
      <c r="G186">
        <v>65</v>
      </c>
      <c r="H186" t="s">
        <v>847</v>
      </c>
      <c r="I186" t="s">
        <v>25</v>
      </c>
      <c r="J186">
        <v>75</v>
      </c>
      <c r="K186">
        <v>10</v>
      </c>
      <c r="L186">
        <v>4</v>
      </c>
      <c r="M186" t="s">
        <v>18</v>
      </c>
      <c r="N186" s="2">
        <v>1532.46</v>
      </c>
      <c r="O186" s="2" t="str">
        <f>IF(EHR_Export[[#This Row],[Arrival Time]]&lt;=TIME(7,0,0), "Night", IF(EHR_Export[[#This Row],[Arrival Time]]&lt;TIME(15,0,0), "Day", "Evening"))</f>
        <v>Evening</v>
      </c>
      <c r="P186" cm="1">
        <f t="array" ref="P1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87" spans="1:16" x14ac:dyDescent="0.25">
      <c r="A187" t="s">
        <v>926</v>
      </c>
      <c r="B187" s="1">
        <v>46045</v>
      </c>
      <c r="C187" s="4">
        <v>0.54027777777777775</v>
      </c>
      <c r="D187" t="s">
        <v>48</v>
      </c>
      <c r="E187" t="s">
        <v>42</v>
      </c>
      <c r="F187" t="s">
        <v>104</v>
      </c>
      <c r="G187">
        <v>41</v>
      </c>
      <c r="H187" t="s">
        <v>847</v>
      </c>
      <c r="I187" t="s">
        <v>13</v>
      </c>
      <c r="J187">
        <v>42</v>
      </c>
      <c r="K187">
        <v>29</v>
      </c>
      <c r="L187">
        <v>3.7</v>
      </c>
      <c r="M187" t="s">
        <v>14</v>
      </c>
      <c r="N187" s="2">
        <v>1792.5</v>
      </c>
      <c r="O187" s="2" t="str">
        <f>IF(EHR_Export[[#This Row],[Arrival Time]]&lt;=TIME(7,0,0), "Night", IF(EHR_Export[[#This Row],[Arrival Time]]&lt;TIME(15,0,0), "Day", "Evening"))</f>
        <v>Day</v>
      </c>
      <c r="P187" cm="1">
        <f t="array" ref="P1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88" spans="1:16" x14ac:dyDescent="0.25">
      <c r="A188" t="s">
        <v>981</v>
      </c>
      <c r="B188" s="1">
        <v>46045</v>
      </c>
      <c r="C188" s="4">
        <v>0.78888888888888886</v>
      </c>
      <c r="D188" t="s">
        <v>21</v>
      </c>
      <c r="E188" t="s">
        <v>53</v>
      </c>
      <c r="F188" t="s">
        <v>160</v>
      </c>
      <c r="G188">
        <v>29</v>
      </c>
      <c r="H188" t="s">
        <v>849</v>
      </c>
      <c r="I188" t="s">
        <v>13</v>
      </c>
      <c r="J188">
        <v>49</v>
      </c>
      <c r="K188">
        <v>62</v>
      </c>
      <c r="L188">
        <v>3.1</v>
      </c>
      <c r="M188" t="s">
        <v>14</v>
      </c>
      <c r="N188" s="2">
        <v>968.51</v>
      </c>
      <c r="O188" s="2" t="str">
        <f>IF(EHR_Export[[#This Row],[Arrival Time]]&lt;=TIME(7,0,0), "Night", IF(EHR_Export[[#This Row],[Arrival Time]]&lt;TIME(15,0,0), "Day", "Evening"))</f>
        <v>Evening</v>
      </c>
      <c r="P188" cm="1">
        <f t="array" ref="P1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89" spans="1:16" x14ac:dyDescent="0.25">
      <c r="A189" t="s">
        <v>1004</v>
      </c>
      <c r="B189" s="1">
        <v>46045</v>
      </c>
      <c r="C189" s="4">
        <v>0.41388888888888886</v>
      </c>
      <c r="D189" t="s">
        <v>48</v>
      </c>
      <c r="E189" t="s">
        <v>42</v>
      </c>
      <c r="F189" t="s">
        <v>183</v>
      </c>
      <c r="G189">
        <v>32</v>
      </c>
      <c r="H189" t="s">
        <v>847</v>
      </c>
      <c r="I189" t="s">
        <v>34</v>
      </c>
      <c r="J189">
        <v>52</v>
      </c>
      <c r="K189">
        <v>18</v>
      </c>
      <c r="L189">
        <v>3.2</v>
      </c>
      <c r="M189" t="s">
        <v>14</v>
      </c>
      <c r="N189" s="2">
        <v>1581.96</v>
      </c>
      <c r="O189" s="2" t="str">
        <f>IF(EHR_Export[[#This Row],[Arrival Time]]&lt;=TIME(7,0,0), "Night", IF(EHR_Export[[#This Row],[Arrival Time]]&lt;TIME(15,0,0), "Day", "Evening"))</f>
        <v>Day</v>
      </c>
      <c r="P189" cm="1">
        <f t="array" ref="P1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90" spans="1:16" x14ac:dyDescent="0.25">
      <c r="A190" t="s">
        <v>1078</v>
      </c>
      <c r="B190" s="1">
        <v>46045</v>
      </c>
      <c r="C190" s="4">
        <v>0.62013888888888891</v>
      </c>
      <c r="D190" t="s">
        <v>28</v>
      </c>
      <c r="E190" t="s">
        <v>23</v>
      </c>
      <c r="F190" t="s">
        <v>257</v>
      </c>
      <c r="G190">
        <v>40</v>
      </c>
      <c r="H190" t="s">
        <v>847</v>
      </c>
      <c r="I190" t="s">
        <v>38</v>
      </c>
      <c r="J190">
        <v>37</v>
      </c>
      <c r="K190">
        <v>86</v>
      </c>
      <c r="L190">
        <v>4.5</v>
      </c>
      <c r="M190" t="s">
        <v>14</v>
      </c>
      <c r="N190" s="2">
        <v>863.42</v>
      </c>
      <c r="O190" s="2" t="str">
        <f>IF(EHR_Export[[#This Row],[Arrival Time]]&lt;=TIME(7,0,0), "Night", IF(EHR_Export[[#This Row],[Arrival Time]]&lt;TIME(15,0,0), "Day", "Evening"))</f>
        <v>Day</v>
      </c>
      <c r="P190" cm="1">
        <f t="array" ref="P1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91" spans="1:16" x14ac:dyDescent="0.25">
      <c r="A191" t="s">
        <v>1091</v>
      </c>
      <c r="B191" s="1">
        <v>46045</v>
      </c>
      <c r="C191" s="4">
        <v>0.60138888888888886</v>
      </c>
      <c r="D191" t="s">
        <v>28</v>
      </c>
      <c r="E191" t="s">
        <v>23</v>
      </c>
      <c r="F191" t="s">
        <v>270</v>
      </c>
      <c r="G191">
        <v>53</v>
      </c>
      <c r="H191" t="s">
        <v>847</v>
      </c>
      <c r="I191" t="s">
        <v>25</v>
      </c>
      <c r="J191">
        <v>43</v>
      </c>
      <c r="K191">
        <v>45</v>
      </c>
      <c r="L191">
        <v>3.2</v>
      </c>
      <c r="M191" t="s">
        <v>14</v>
      </c>
      <c r="N191" s="2">
        <v>899.59</v>
      </c>
      <c r="O191" s="2" t="str">
        <f>IF(EHR_Export[[#This Row],[Arrival Time]]&lt;=TIME(7,0,0), "Night", IF(EHR_Export[[#This Row],[Arrival Time]]&lt;TIME(15,0,0), "Day", "Evening"))</f>
        <v>Day</v>
      </c>
      <c r="P191" cm="1">
        <f t="array" ref="P1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92" spans="1:16" x14ac:dyDescent="0.25">
      <c r="A192" t="s">
        <v>1339</v>
      </c>
      <c r="B192" s="1">
        <v>46045</v>
      </c>
      <c r="C192" s="4">
        <v>0.77013888888888893</v>
      </c>
      <c r="D192" t="s">
        <v>28</v>
      </c>
      <c r="E192" t="s">
        <v>23</v>
      </c>
      <c r="F192" t="s">
        <v>518</v>
      </c>
      <c r="G192">
        <v>57</v>
      </c>
      <c r="H192" t="s">
        <v>847</v>
      </c>
      <c r="I192" t="s">
        <v>38</v>
      </c>
      <c r="J192">
        <v>72</v>
      </c>
      <c r="K192">
        <v>16</v>
      </c>
      <c r="L192">
        <v>4.4000000000000004</v>
      </c>
      <c r="M192" t="s">
        <v>14</v>
      </c>
      <c r="N192" s="2">
        <v>904.53</v>
      </c>
      <c r="O192" s="2" t="str">
        <f>IF(EHR_Export[[#This Row],[Arrival Time]]&lt;=TIME(7,0,0), "Night", IF(EHR_Export[[#This Row],[Arrival Time]]&lt;TIME(15,0,0), "Day", "Evening"))</f>
        <v>Evening</v>
      </c>
      <c r="P192" cm="1">
        <f t="array" ref="P1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193" spans="1:16" x14ac:dyDescent="0.25">
      <c r="A193" t="s">
        <v>1359</v>
      </c>
      <c r="B193" s="1">
        <v>46045</v>
      </c>
      <c r="C193" s="4">
        <v>0.43541666666666667</v>
      </c>
      <c r="D193" t="s">
        <v>21</v>
      </c>
      <c r="E193" t="s">
        <v>53</v>
      </c>
      <c r="F193" t="s">
        <v>538</v>
      </c>
      <c r="G193">
        <v>44</v>
      </c>
      <c r="H193" t="s">
        <v>847</v>
      </c>
      <c r="I193" t="s">
        <v>38</v>
      </c>
      <c r="J193">
        <v>60</v>
      </c>
      <c r="K193">
        <v>52</v>
      </c>
      <c r="L193">
        <v>3.7</v>
      </c>
      <c r="M193" t="s">
        <v>14</v>
      </c>
      <c r="N193" s="2">
        <v>733.39</v>
      </c>
      <c r="O193" s="2" t="str">
        <f>IF(EHR_Export[[#This Row],[Arrival Time]]&lt;=TIME(7,0,0), "Night", IF(EHR_Export[[#This Row],[Arrival Time]]&lt;TIME(15,0,0), "Day", "Evening"))</f>
        <v>Day</v>
      </c>
      <c r="P193" cm="1">
        <f t="array" ref="P1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94" spans="1:16" x14ac:dyDescent="0.25">
      <c r="A194" t="s">
        <v>1485</v>
      </c>
      <c r="B194" s="1">
        <v>46045</v>
      </c>
      <c r="C194" s="4">
        <v>0.37152777777777779</v>
      </c>
      <c r="D194" t="s">
        <v>21</v>
      </c>
      <c r="E194" t="s">
        <v>53</v>
      </c>
      <c r="F194" t="s">
        <v>664</v>
      </c>
      <c r="G194">
        <v>23</v>
      </c>
      <c r="H194" t="s">
        <v>847</v>
      </c>
      <c r="I194" t="s">
        <v>34</v>
      </c>
      <c r="J194">
        <v>76</v>
      </c>
      <c r="K194">
        <v>51</v>
      </c>
      <c r="L194">
        <v>3.5</v>
      </c>
      <c r="M194" t="s">
        <v>18</v>
      </c>
      <c r="N194" s="2">
        <v>792.08</v>
      </c>
      <c r="O194" s="2" t="str">
        <f>IF(EHR_Export[[#This Row],[Arrival Time]]&lt;=TIME(7,0,0), "Night", IF(EHR_Export[[#This Row],[Arrival Time]]&lt;TIME(15,0,0), "Day", "Evening"))</f>
        <v>Day</v>
      </c>
      <c r="P194" cm="1">
        <f t="array" ref="P1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95" spans="1:16" x14ac:dyDescent="0.25">
      <c r="A195" t="s">
        <v>981</v>
      </c>
      <c r="B195" s="1">
        <v>46045</v>
      </c>
      <c r="C195" s="4">
        <v>0.78888888888888886</v>
      </c>
      <c r="D195" t="s">
        <v>21</v>
      </c>
      <c r="E195" t="s">
        <v>53</v>
      </c>
      <c r="F195" t="s">
        <v>160</v>
      </c>
      <c r="G195">
        <v>29</v>
      </c>
      <c r="H195" t="s">
        <v>849</v>
      </c>
      <c r="I195" t="s">
        <v>13</v>
      </c>
      <c r="J195">
        <v>49</v>
      </c>
      <c r="K195">
        <v>62</v>
      </c>
      <c r="L195">
        <v>3.1</v>
      </c>
      <c r="M195" t="s">
        <v>14</v>
      </c>
      <c r="N195" s="2">
        <v>968.51</v>
      </c>
      <c r="O195" s="2" t="str">
        <f>IF(EHR_Export[[#This Row],[Arrival Time]]&lt;=TIME(7,0,0), "Night", IF(EHR_Export[[#This Row],[Arrival Time]]&lt;TIME(15,0,0), "Day", "Evening"))</f>
        <v>Evening</v>
      </c>
      <c r="P195" cm="1">
        <f t="array" ref="P1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196" spans="1:16" x14ac:dyDescent="0.25">
      <c r="A196" t="s">
        <v>862</v>
      </c>
      <c r="B196" s="1">
        <v>46046</v>
      </c>
      <c r="C196" s="4">
        <v>0.51944444444444449</v>
      </c>
      <c r="D196" t="s">
        <v>126</v>
      </c>
      <c r="E196" t="s">
        <v>46</v>
      </c>
      <c r="F196" t="s">
        <v>33</v>
      </c>
      <c r="G196">
        <v>59</v>
      </c>
      <c r="H196" t="s">
        <v>847</v>
      </c>
      <c r="I196" t="s">
        <v>34</v>
      </c>
      <c r="J196">
        <v>17</v>
      </c>
      <c r="K196">
        <v>44</v>
      </c>
      <c r="L196">
        <v>4.0999999999999996</v>
      </c>
      <c r="M196" t="s">
        <v>14</v>
      </c>
      <c r="N196" s="2">
        <v>1543.95</v>
      </c>
      <c r="O196" s="2" t="str">
        <f>IF(EHR_Export[[#This Row],[Arrival Time]]&lt;=TIME(7,0,0), "Night", IF(EHR_Export[[#This Row],[Arrival Time]]&lt;TIME(15,0,0), "Day", "Evening"))</f>
        <v>Day</v>
      </c>
      <c r="P196" cm="1">
        <f t="array" ref="P1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197" spans="1:16" x14ac:dyDescent="0.25">
      <c r="A197" t="s">
        <v>931</v>
      </c>
      <c r="B197" s="1">
        <v>46046</v>
      </c>
      <c r="C197" s="4">
        <v>0.72430555555555554</v>
      </c>
      <c r="D197" t="s">
        <v>28</v>
      </c>
      <c r="E197" t="s">
        <v>23</v>
      </c>
      <c r="F197" t="s">
        <v>109</v>
      </c>
      <c r="G197">
        <v>23</v>
      </c>
      <c r="H197" t="s">
        <v>849</v>
      </c>
      <c r="I197" t="s">
        <v>34</v>
      </c>
      <c r="J197">
        <v>91</v>
      </c>
      <c r="K197">
        <v>36</v>
      </c>
      <c r="L197">
        <v>3.1</v>
      </c>
      <c r="M197" t="s">
        <v>14</v>
      </c>
      <c r="N197" s="2">
        <v>604.29</v>
      </c>
      <c r="O197" s="2" t="str">
        <f>IF(EHR_Export[[#This Row],[Arrival Time]]&lt;=TIME(7,0,0), "Night", IF(EHR_Export[[#This Row],[Arrival Time]]&lt;TIME(15,0,0), "Day", "Evening"))</f>
        <v>Evening</v>
      </c>
      <c r="P197" cm="1">
        <f t="array" ref="P1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198" spans="1:16" x14ac:dyDescent="0.25">
      <c r="A198" t="s">
        <v>1308</v>
      </c>
      <c r="B198" s="1">
        <v>46046</v>
      </c>
      <c r="C198" s="4">
        <v>0.84722222222222221</v>
      </c>
      <c r="D198" t="s">
        <v>48</v>
      </c>
      <c r="E198" t="s">
        <v>42</v>
      </c>
      <c r="F198" t="s">
        <v>487</v>
      </c>
      <c r="G198">
        <v>55</v>
      </c>
      <c r="H198" t="s">
        <v>849</v>
      </c>
      <c r="I198" t="s">
        <v>34</v>
      </c>
      <c r="J198">
        <v>72</v>
      </c>
      <c r="K198">
        <v>53</v>
      </c>
      <c r="L198">
        <v>2.7</v>
      </c>
      <c r="M198" t="s">
        <v>14</v>
      </c>
      <c r="N198" s="2">
        <v>1247.1600000000001</v>
      </c>
      <c r="O198" s="2" t="str">
        <f>IF(EHR_Export[[#This Row],[Arrival Time]]&lt;=TIME(7,0,0), "Night", IF(EHR_Export[[#This Row],[Arrival Time]]&lt;TIME(15,0,0), "Day", "Evening"))</f>
        <v>Evening</v>
      </c>
      <c r="P198" cm="1">
        <f t="array" ref="P1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199" spans="1:16" x14ac:dyDescent="0.25">
      <c r="A199" t="s">
        <v>1357</v>
      </c>
      <c r="B199" s="1">
        <v>46046</v>
      </c>
      <c r="C199" s="4">
        <v>0.49236111111111114</v>
      </c>
      <c r="D199" t="s">
        <v>126</v>
      </c>
      <c r="E199" t="s">
        <v>46</v>
      </c>
      <c r="F199" t="s">
        <v>536</v>
      </c>
      <c r="G199">
        <v>68</v>
      </c>
      <c r="H199" t="s">
        <v>849</v>
      </c>
      <c r="I199" t="s">
        <v>34</v>
      </c>
      <c r="J199">
        <v>40</v>
      </c>
      <c r="K199">
        <v>20</v>
      </c>
      <c r="L199">
        <v>4.7</v>
      </c>
      <c r="M199" t="s">
        <v>14</v>
      </c>
      <c r="N199" s="2">
        <v>1995.19</v>
      </c>
      <c r="O199" s="2" t="str">
        <f>IF(EHR_Export[[#This Row],[Arrival Time]]&lt;=TIME(7,0,0), "Night", IF(EHR_Export[[#This Row],[Arrival Time]]&lt;TIME(15,0,0), "Day", "Evening"))</f>
        <v>Day</v>
      </c>
      <c r="P199" cm="1">
        <f t="array" ref="P1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00" spans="1:16" x14ac:dyDescent="0.25">
      <c r="A200" t="s">
        <v>1414</v>
      </c>
      <c r="B200" s="1">
        <v>46046</v>
      </c>
      <c r="C200" s="4">
        <v>0.90555555555555556</v>
      </c>
      <c r="D200" t="s">
        <v>21</v>
      </c>
      <c r="E200" t="s">
        <v>53</v>
      </c>
      <c r="F200" t="s">
        <v>593</v>
      </c>
      <c r="G200">
        <v>40</v>
      </c>
      <c r="H200" t="s">
        <v>847</v>
      </c>
      <c r="I200" t="s">
        <v>13</v>
      </c>
      <c r="J200">
        <v>21</v>
      </c>
      <c r="K200">
        <v>46</v>
      </c>
      <c r="L200">
        <v>3.3</v>
      </c>
      <c r="M200" t="s">
        <v>14</v>
      </c>
      <c r="N200" s="2">
        <v>775.09</v>
      </c>
      <c r="O200" s="2" t="str">
        <f>IF(EHR_Export[[#This Row],[Arrival Time]]&lt;=TIME(7,0,0), "Night", IF(EHR_Export[[#This Row],[Arrival Time]]&lt;TIME(15,0,0), "Day", "Evening"))</f>
        <v>Evening</v>
      </c>
      <c r="P200" cm="1">
        <f t="array" ref="P2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01" spans="1:16" x14ac:dyDescent="0.25">
      <c r="A201" t="s">
        <v>862</v>
      </c>
      <c r="B201" s="1">
        <v>46046</v>
      </c>
      <c r="C201" s="4">
        <v>0.51944444444444449</v>
      </c>
      <c r="D201" t="s">
        <v>126</v>
      </c>
      <c r="E201" t="s">
        <v>46</v>
      </c>
      <c r="F201" t="s">
        <v>33</v>
      </c>
      <c r="G201">
        <v>59</v>
      </c>
      <c r="H201" t="s">
        <v>847</v>
      </c>
      <c r="I201" t="s">
        <v>34</v>
      </c>
      <c r="J201">
        <v>17</v>
      </c>
      <c r="K201">
        <v>44</v>
      </c>
      <c r="L201">
        <v>4.0999999999999996</v>
      </c>
      <c r="M201" t="s">
        <v>14</v>
      </c>
      <c r="N201" s="2">
        <v>1543.95</v>
      </c>
      <c r="O201" s="2" t="str">
        <f>IF(EHR_Export[[#This Row],[Arrival Time]]&lt;=TIME(7,0,0), "Night", IF(EHR_Export[[#This Row],[Arrival Time]]&lt;TIME(15,0,0), "Day", "Evening"))</f>
        <v>Day</v>
      </c>
      <c r="P201" cm="1">
        <f t="array" ref="P2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02" spans="1:16" x14ac:dyDescent="0.25">
      <c r="A202" t="s">
        <v>1512</v>
      </c>
      <c r="B202" s="1">
        <v>46046</v>
      </c>
      <c r="C202" s="4">
        <v>0.73124999999999996</v>
      </c>
      <c r="D202" t="s">
        <v>48</v>
      </c>
      <c r="E202" t="s">
        <v>42</v>
      </c>
      <c r="F202" t="s">
        <v>691</v>
      </c>
      <c r="G202">
        <v>37</v>
      </c>
      <c r="H202" t="s">
        <v>849</v>
      </c>
      <c r="I202" t="s">
        <v>34</v>
      </c>
      <c r="J202">
        <v>93</v>
      </c>
      <c r="K202">
        <v>39</v>
      </c>
      <c r="L202">
        <v>2.9</v>
      </c>
      <c r="M202" t="s">
        <v>14</v>
      </c>
      <c r="N202" s="2">
        <v>1143.55</v>
      </c>
      <c r="O202" s="2" t="str">
        <f>IF(EHR_Export[[#This Row],[Arrival Time]]&lt;=TIME(7,0,0), "Night", IF(EHR_Export[[#This Row],[Arrival Time]]&lt;TIME(15,0,0), "Day", "Evening"))</f>
        <v>Evening</v>
      </c>
      <c r="P202" cm="1">
        <f t="array" ref="P2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03" spans="1:16" x14ac:dyDescent="0.25">
      <c r="A203" t="s">
        <v>1529</v>
      </c>
      <c r="B203" s="1">
        <v>46046</v>
      </c>
      <c r="C203" s="4">
        <v>0.69930555555555551</v>
      </c>
      <c r="D203" t="s">
        <v>48</v>
      </c>
      <c r="E203" t="s">
        <v>42</v>
      </c>
      <c r="F203" t="s">
        <v>708</v>
      </c>
      <c r="G203">
        <v>15</v>
      </c>
      <c r="H203" t="s">
        <v>849</v>
      </c>
      <c r="I203" t="s">
        <v>34</v>
      </c>
      <c r="J203">
        <v>86</v>
      </c>
      <c r="K203">
        <v>90</v>
      </c>
      <c r="L203">
        <v>3.7</v>
      </c>
      <c r="M203" t="s">
        <v>14</v>
      </c>
      <c r="N203" s="2">
        <v>1566.78</v>
      </c>
      <c r="O203" s="2" t="str">
        <f>IF(EHR_Export[[#This Row],[Arrival Time]]&lt;=TIME(7,0,0), "Night", IF(EHR_Export[[#This Row],[Arrival Time]]&lt;TIME(15,0,0), "Day", "Evening"))</f>
        <v>Evening</v>
      </c>
      <c r="P203" cm="1">
        <f t="array" ref="P2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04" spans="1:16" x14ac:dyDescent="0.25">
      <c r="A204" t="s">
        <v>1549</v>
      </c>
      <c r="B204" s="1">
        <v>46046</v>
      </c>
      <c r="C204" s="4">
        <v>0.15625</v>
      </c>
      <c r="D204" t="s">
        <v>21</v>
      </c>
      <c r="E204" t="s">
        <v>53</v>
      </c>
      <c r="F204" t="s">
        <v>728</v>
      </c>
      <c r="G204">
        <v>42</v>
      </c>
      <c r="H204" t="s">
        <v>847</v>
      </c>
      <c r="I204" t="s">
        <v>34</v>
      </c>
      <c r="J204">
        <v>16</v>
      </c>
      <c r="K204">
        <v>29</v>
      </c>
      <c r="L204">
        <v>3.2</v>
      </c>
      <c r="M204" t="s">
        <v>14</v>
      </c>
      <c r="N204" s="2">
        <v>791.97</v>
      </c>
      <c r="O204" s="2" t="str">
        <f>IF(EHR_Export[[#This Row],[Arrival Time]]&lt;=TIME(7,0,0), "Night", IF(EHR_Export[[#This Row],[Arrival Time]]&lt;TIME(15,0,0), "Day", "Evening"))</f>
        <v>Night</v>
      </c>
      <c r="P204" cm="1">
        <f t="array" ref="P2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205" spans="1:16" x14ac:dyDescent="0.25">
      <c r="A205" t="s">
        <v>1613</v>
      </c>
      <c r="B205" s="1">
        <v>46046</v>
      </c>
      <c r="C205" s="4">
        <v>1.1111111111111112E-2</v>
      </c>
      <c r="D205" t="s">
        <v>28</v>
      </c>
      <c r="E205" t="s">
        <v>23</v>
      </c>
      <c r="F205" t="s">
        <v>792</v>
      </c>
      <c r="G205">
        <v>5</v>
      </c>
      <c r="H205" t="s">
        <v>847</v>
      </c>
      <c r="I205" t="s">
        <v>25</v>
      </c>
      <c r="J205">
        <v>52</v>
      </c>
      <c r="K205">
        <v>31</v>
      </c>
      <c r="L205">
        <v>4.2</v>
      </c>
      <c r="M205" t="s">
        <v>14</v>
      </c>
      <c r="N205" s="2">
        <v>827.95</v>
      </c>
      <c r="O205" s="2" t="str">
        <f>IF(EHR_Export[[#This Row],[Arrival Time]]&lt;=TIME(7,0,0), "Night", IF(EHR_Export[[#This Row],[Arrival Time]]&lt;TIME(15,0,0), "Day", "Evening"))</f>
        <v>Night</v>
      </c>
      <c r="P205" cm="1">
        <f t="array" ref="P2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06" spans="1:16" x14ac:dyDescent="0.25">
      <c r="A206" t="s">
        <v>855</v>
      </c>
      <c r="B206" s="1">
        <v>46047</v>
      </c>
      <c r="C206" s="4">
        <v>0.62152777777777779</v>
      </c>
      <c r="D206" t="s">
        <v>28</v>
      </c>
      <c r="E206" t="s">
        <v>23</v>
      </c>
      <c r="F206" t="s">
        <v>24</v>
      </c>
      <c r="G206">
        <v>43</v>
      </c>
      <c r="H206" t="s">
        <v>847</v>
      </c>
      <c r="I206" t="s">
        <v>25</v>
      </c>
      <c r="J206">
        <v>50</v>
      </c>
      <c r="K206">
        <v>37</v>
      </c>
      <c r="L206">
        <v>3.9</v>
      </c>
      <c r="M206" t="s">
        <v>14</v>
      </c>
      <c r="N206" s="2">
        <v>980.03</v>
      </c>
      <c r="O206" s="2" t="str">
        <f>IF(EHR_Export[[#This Row],[Arrival Time]]&lt;=TIME(7,0,0), "Night", IF(EHR_Export[[#This Row],[Arrival Time]]&lt;TIME(15,0,0), "Day", "Evening"))</f>
        <v>Day</v>
      </c>
      <c r="P206" cm="1">
        <f t="array" ref="P2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07" spans="1:16" x14ac:dyDescent="0.25">
      <c r="A207" t="s">
        <v>902</v>
      </c>
      <c r="B207" s="1">
        <v>46047</v>
      </c>
      <c r="C207" s="4">
        <v>0.42083333333333334</v>
      </c>
      <c r="D207" t="s">
        <v>28</v>
      </c>
      <c r="E207" t="s">
        <v>23</v>
      </c>
      <c r="F207" t="s">
        <v>80</v>
      </c>
      <c r="G207">
        <v>150</v>
      </c>
      <c r="H207" t="s">
        <v>847</v>
      </c>
      <c r="I207" t="s">
        <v>25</v>
      </c>
      <c r="J207">
        <v>50</v>
      </c>
      <c r="K207">
        <v>15</v>
      </c>
      <c r="L207">
        <v>3.6</v>
      </c>
      <c r="M207" t="s">
        <v>14</v>
      </c>
      <c r="N207" s="2">
        <v>985.33</v>
      </c>
      <c r="O207" s="2" t="str">
        <f>IF(EHR_Export[[#This Row],[Arrival Time]]&lt;=TIME(7,0,0), "Night", IF(EHR_Export[[#This Row],[Arrival Time]]&lt;TIME(15,0,0), "Day", "Evening"))</f>
        <v>Day</v>
      </c>
      <c r="P207" cm="1">
        <f t="array" ref="P2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08" spans="1:16" x14ac:dyDescent="0.25">
      <c r="A208" t="s">
        <v>961</v>
      </c>
      <c r="B208" s="1">
        <v>46047</v>
      </c>
      <c r="C208" s="4">
        <v>0.54513888888888884</v>
      </c>
      <c r="D208" t="s">
        <v>28</v>
      </c>
      <c r="E208" t="s">
        <v>23</v>
      </c>
      <c r="F208" t="s">
        <v>140</v>
      </c>
      <c r="G208">
        <v>77</v>
      </c>
      <c r="H208" t="s">
        <v>849</v>
      </c>
      <c r="I208" t="s">
        <v>34</v>
      </c>
      <c r="J208">
        <v>61</v>
      </c>
      <c r="K208">
        <v>36</v>
      </c>
      <c r="L208">
        <v>3.3</v>
      </c>
      <c r="M208" t="s">
        <v>14</v>
      </c>
      <c r="N208" s="2">
        <v>900.11</v>
      </c>
      <c r="O208" s="2" t="str">
        <f>IF(EHR_Export[[#This Row],[Arrival Time]]&lt;=TIME(7,0,0), "Night", IF(EHR_Export[[#This Row],[Arrival Time]]&lt;TIME(15,0,0), "Day", "Evening"))</f>
        <v>Day</v>
      </c>
      <c r="P208" cm="1">
        <f t="array" ref="P2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09" spans="1:16" x14ac:dyDescent="0.25">
      <c r="A209" t="s">
        <v>1099</v>
      </c>
      <c r="B209" s="1">
        <v>46047</v>
      </c>
      <c r="C209" s="4">
        <v>0.47569444444444442</v>
      </c>
      <c r="D209" t="s">
        <v>28</v>
      </c>
      <c r="E209" t="s">
        <v>23</v>
      </c>
      <c r="F209" t="s">
        <v>278</v>
      </c>
      <c r="G209">
        <v>39</v>
      </c>
      <c r="H209" t="s">
        <v>849</v>
      </c>
      <c r="I209" t="s">
        <v>13</v>
      </c>
      <c r="J209">
        <v>46</v>
      </c>
      <c r="K209">
        <v>22</v>
      </c>
      <c r="L209">
        <v>4.3</v>
      </c>
      <c r="M209" t="s">
        <v>14</v>
      </c>
      <c r="N209" s="2">
        <v>768.26</v>
      </c>
      <c r="O209" s="2" t="str">
        <f>IF(EHR_Export[[#This Row],[Arrival Time]]&lt;=TIME(7,0,0), "Night", IF(EHR_Export[[#This Row],[Arrival Time]]&lt;TIME(15,0,0), "Day", "Evening"))</f>
        <v>Day</v>
      </c>
      <c r="P209" cm="1">
        <f t="array" ref="P2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10" spans="1:16" x14ac:dyDescent="0.25">
      <c r="A210" t="s">
        <v>1139</v>
      </c>
      <c r="B210" s="1">
        <v>46047</v>
      </c>
      <c r="C210" s="4">
        <v>0.75694444444444442</v>
      </c>
      <c r="D210" t="s">
        <v>58</v>
      </c>
      <c r="E210" t="s">
        <v>842</v>
      </c>
      <c r="F210" t="s">
        <v>318</v>
      </c>
      <c r="G210">
        <v>36</v>
      </c>
      <c r="H210" t="s">
        <v>849</v>
      </c>
      <c r="I210" t="s">
        <v>38</v>
      </c>
      <c r="J210">
        <v>91</v>
      </c>
      <c r="K210">
        <v>57</v>
      </c>
      <c r="L210">
        <v>3.2</v>
      </c>
      <c r="M210" t="s">
        <v>14</v>
      </c>
      <c r="N210" s="2">
        <v>2262.9499999999998</v>
      </c>
      <c r="O210" s="2" t="str">
        <f>IF(EHR_Export[[#This Row],[Arrival Time]]&lt;=TIME(7,0,0), "Night", IF(EHR_Export[[#This Row],[Arrival Time]]&lt;TIME(15,0,0), "Day", "Evening"))</f>
        <v>Evening</v>
      </c>
      <c r="P210" cm="1">
        <f t="array" ref="P2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11" spans="1:16" x14ac:dyDescent="0.25">
      <c r="A211" t="s">
        <v>1331</v>
      </c>
      <c r="B211" s="1">
        <v>46047</v>
      </c>
      <c r="C211" s="4">
        <v>0.40069444444444446</v>
      </c>
      <c r="D211" t="s">
        <v>58</v>
      </c>
      <c r="E211" t="s">
        <v>842</v>
      </c>
      <c r="F211" t="s">
        <v>510</v>
      </c>
      <c r="G211">
        <v>60</v>
      </c>
      <c r="H211" t="s">
        <v>849</v>
      </c>
      <c r="I211" t="s">
        <v>25</v>
      </c>
      <c r="J211">
        <v>71</v>
      </c>
      <c r="K211">
        <v>88</v>
      </c>
      <c r="L211">
        <v>2.8</v>
      </c>
      <c r="M211" t="s">
        <v>14</v>
      </c>
      <c r="N211" s="2">
        <v>3459.16</v>
      </c>
      <c r="O211" s="2" t="str">
        <f>IF(EHR_Export[[#This Row],[Arrival Time]]&lt;=TIME(7,0,0), "Night", IF(EHR_Export[[#This Row],[Arrival Time]]&lt;TIME(15,0,0), "Day", "Evening"))</f>
        <v>Day</v>
      </c>
      <c r="P211" cm="1">
        <f t="array" ref="P2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12" spans="1:16" x14ac:dyDescent="0.25">
      <c r="A212" t="s">
        <v>1374</v>
      </c>
      <c r="B212" s="1">
        <v>46047</v>
      </c>
      <c r="C212" s="4">
        <v>0.53888888888888886</v>
      </c>
      <c r="D212" t="s">
        <v>28</v>
      </c>
      <c r="E212" t="s">
        <v>23</v>
      </c>
      <c r="F212" t="s">
        <v>553</v>
      </c>
      <c r="G212">
        <v>63</v>
      </c>
      <c r="H212" t="s">
        <v>847</v>
      </c>
      <c r="I212" t="s">
        <v>38</v>
      </c>
      <c r="J212">
        <v>63</v>
      </c>
      <c r="K212">
        <v>34</v>
      </c>
      <c r="L212">
        <v>3.8</v>
      </c>
      <c r="M212" t="s">
        <v>14</v>
      </c>
      <c r="N212" s="2">
        <v>674.32</v>
      </c>
      <c r="O212" s="2" t="str">
        <f>IF(EHR_Export[[#This Row],[Arrival Time]]&lt;=TIME(7,0,0), "Night", IF(EHR_Export[[#This Row],[Arrival Time]]&lt;TIME(15,0,0), "Day", "Evening"))</f>
        <v>Day</v>
      </c>
      <c r="P212" cm="1">
        <f t="array" ref="P2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13" spans="1:16" x14ac:dyDescent="0.25">
      <c r="A213" t="s">
        <v>1444</v>
      </c>
      <c r="B213" s="1">
        <v>46047</v>
      </c>
      <c r="C213" s="4">
        <v>0.46944444444444444</v>
      </c>
      <c r="D213" t="s">
        <v>48</v>
      </c>
      <c r="E213" t="s">
        <v>42</v>
      </c>
      <c r="F213" t="s">
        <v>623</v>
      </c>
      <c r="G213">
        <v>29</v>
      </c>
      <c r="H213" t="s">
        <v>849</v>
      </c>
      <c r="I213" t="s">
        <v>25</v>
      </c>
      <c r="J213">
        <v>70</v>
      </c>
      <c r="K213">
        <v>87</v>
      </c>
      <c r="L213">
        <v>3</v>
      </c>
      <c r="M213" t="s">
        <v>14</v>
      </c>
      <c r="N213" s="2">
        <v>1265.83</v>
      </c>
      <c r="O213" s="2" t="str">
        <f>IF(EHR_Export[[#This Row],[Arrival Time]]&lt;=TIME(7,0,0), "Night", IF(EHR_Export[[#This Row],[Arrival Time]]&lt;TIME(15,0,0), "Day", "Evening"))</f>
        <v>Day</v>
      </c>
      <c r="P213" cm="1">
        <f t="array" ref="P2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14" spans="1:16" x14ac:dyDescent="0.25">
      <c r="A214" t="s">
        <v>1496</v>
      </c>
      <c r="B214" s="1">
        <v>46047</v>
      </c>
      <c r="C214" s="4">
        <v>0.46597222222222223</v>
      </c>
      <c r="D214" t="s">
        <v>58</v>
      </c>
      <c r="E214" t="s">
        <v>842</v>
      </c>
      <c r="F214" t="s">
        <v>675</v>
      </c>
      <c r="G214">
        <v>999</v>
      </c>
      <c r="H214" t="s">
        <v>849</v>
      </c>
      <c r="I214" t="s">
        <v>25</v>
      </c>
      <c r="J214">
        <v>65</v>
      </c>
      <c r="K214">
        <v>72</v>
      </c>
      <c r="L214">
        <v>3.4</v>
      </c>
      <c r="M214" t="s">
        <v>14</v>
      </c>
      <c r="N214" s="2">
        <v>3917.48</v>
      </c>
      <c r="O214" s="2" t="str">
        <f>IF(EHR_Export[[#This Row],[Arrival Time]]&lt;=TIME(7,0,0), "Night", IF(EHR_Export[[#This Row],[Arrival Time]]&lt;TIME(15,0,0), "Day", "Evening"))</f>
        <v>Day</v>
      </c>
      <c r="P214" cm="1">
        <f t="array" ref="P2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15" spans="1:16" x14ac:dyDescent="0.25">
      <c r="A215" t="s">
        <v>1514</v>
      </c>
      <c r="B215" s="1">
        <v>46047</v>
      </c>
      <c r="C215" s="4">
        <v>0.71458333333333335</v>
      </c>
      <c r="D215" t="s">
        <v>28</v>
      </c>
      <c r="E215" t="s">
        <v>23</v>
      </c>
      <c r="F215" t="s">
        <v>693</v>
      </c>
      <c r="G215">
        <v>40</v>
      </c>
      <c r="H215" t="s">
        <v>849</v>
      </c>
      <c r="I215" t="s">
        <v>13</v>
      </c>
      <c r="J215">
        <v>69</v>
      </c>
      <c r="K215">
        <v>58</v>
      </c>
      <c r="L215">
        <v>3</v>
      </c>
      <c r="M215" t="s">
        <v>18</v>
      </c>
      <c r="N215" s="2">
        <v>547.63</v>
      </c>
      <c r="O215" s="2" t="str">
        <f>IF(EHR_Export[[#This Row],[Arrival Time]]&lt;=TIME(7,0,0), "Night", IF(EHR_Export[[#This Row],[Arrival Time]]&lt;TIME(15,0,0), "Day", "Evening"))</f>
        <v>Evening</v>
      </c>
      <c r="P215" cm="1">
        <f t="array" ref="P2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16" spans="1:16" x14ac:dyDescent="0.25">
      <c r="A216" t="s">
        <v>1515</v>
      </c>
      <c r="B216" s="1">
        <v>46047</v>
      </c>
      <c r="C216" s="4">
        <v>0.67777777777777781</v>
      </c>
      <c r="D216" t="s">
        <v>126</v>
      </c>
      <c r="E216" t="s">
        <v>46</v>
      </c>
      <c r="F216" t="s">
        <v>694</v>
      </c>
      <c r="G216">
        <v>76</v>
      </c>
      <c r="H216" t="s">
        <v>849</v>
      </c>
      <c r="I216" t="s">
        <v>25</v>
      </c>
      <c r="J216">
        <v>76</v>
      </c>
      <c r="K216">
        <v>43</v>
      </c>
      <c r="L216">
        <v>3.3</v>
      </c>
      <c r="M216" t="s">
        <v>18</v>
      </c>
      <c r="N216" s="2">
        <v>1993.28</v>
      </c>
      <c r="O216" s="2" t="str">
        <f>IF(EHR_Export[[#This Row],[Arrival Time]]&lt;=TIME(7,0,0), "Night", IF(EHR_Export[[#This Row],[Arrival Time]]&lt;TIME(15,0,0), "Day", "Evening"))</f>
        <v>Evening</v>
      </c>
      <c r="P216" cm="1">
        <f t="array" ref="P2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217" spans="1:16" x14ac:dyDescent="0.25">
      <c r="A217" t="s">
        <v>1552</v>
      </c>
      <c r="B217" s="1">
        <v>46047</v>
      </c>
      <c r="C217" s="4">
        <v>0.54305555555555551</v>
      </c>
      <c r="D217" t="s">
        <v>126</v>
      </c>
      <c r="E217" t="s">
        <v>46</v>
      </c>
      <c r="F217" t="s">
        <v>731</v>
      </c>
      <c r="G217">
        <v>10</v>
      </c>
      <c r="H217" t="s">
        <v>847</v>
      </c>
      <c r="I217" t="s">
        <v>13</v>
      </c>
      <c r="J217">
        <v>61</v>
      </c>
      <c r="K217">
        <v>56</v>
      </c>
      <c r="L217">
        <v>3.9</v>
      </c>
      <c r="M217" t="s">
        <v>14</v>
      </c>
      <c r="N217" s="2">
        <v>2235.87</v>
      </c>
      <c r="O217" s="2" t="str">
        <f>IF(EHR_Export[[#This Row],[Arrival Time]]&lt;=TIME(7,0,0), "Night", IF(EHR_Export[[#This Row],[Arrival Time]]&lt;TIME(15,0,0), "Day", "Evening"))</f>
        <v>Day</v>
      </c>
      <c r="P217" cm="1">
        <f t="array" ref="P2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18" spans="1:16" x14ac:dyDescent="0.25">
      <c r="A218" t="s">
        <v>1601</v>
      </c>
      <c r="B218" s="1">
        <v>46047</v>
      </c>
      <c r="C218" s="4">
        <v>0.72638888888888886</v>
      </c>
      <c r="D218" t="s">
        <v>28</v>
      </c>
      <c r="E218" t="s">
        <v>23</v>
      </c>
      <c r="F218" t="s">
        <v>780</v>
      </c>
      <c r="G218">
        <v>68</v>
      </c>
      <c r="H218" t="s">
        <v>847</v>
      </c>
      <c r="I218" t="s">
        <v>38</v>
      </c>
      <c r="J218">
        <v>91</v>
      </c>
      <c r="K218">
        <v>10</v>
      </c>
      <c r="L218">
        <v>3.3</v>
      </c>
      <c r="M218" t="s">
        <v>18</v>
      </c>
      <c r="N218" s="2">
        <v>1001.87</v>
      </c>
      <c r="O218" s="2" t="str">
        <f>IF(EHR_Export[[#This Row],[Arrival Time]]&lt;=TIME(7,0,0), "Night", IF(EHR_Export[[#This Row],[Arrival Time]]&lt;TIME(15,0,0), "Day", "Evening"))</f>
        <v>Evening</v>
      </c>
      <c r="P218" cm="1">
        <f t="array" ref="P2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19" spans="1:16" x14ac:dyDescent="0.25">
      <c r="A219" t="s">
        <v>1024</v>
      </c>
      <c r="B219" s="1">
        <v>46048</v>
      </c>
      <c r="C219" s="4">
        <v>0.86527777777777781</v>
      </c>
      <c r="D219" t="s">
        <v>58</v>
      </c>
      <c r="E219" t="s">
        <v>842</v>
      </c>
      <c r="F219" t="s">
        <v>203</v>
      </c>
      <c r="G219">
        <v>68</v>
      </c>
      <c r="H219" t="s">
        <v>849</v>
      </c>
      <c r="I219" t="s">
        <v>25</v>
      </c>
      <c r="J219">
        <v>112</v>
      </c>
      <c r="K219">
        <v>94</v>
      </c>
      <c r="L219">
        <v>1.6</v>
      </c>
      <c r="M219" t="s">
        <v>14</v>
      </c>
      <c r="N219" s="2">
        <v>3303.08</v>
      </c>
      <c r="O219" s="2" t="str">
        <f>IF(EHR_Export[[#This Row],[Arrival Time]]&lt;=TIME(7,0,0), "Night", IF(EHR_Export[[#This Row],[Arrival Time]]&lt;TIME(15,0,0), "Day", "Evening"))</f>
        <v>Evening</v>
      </c>
      <c r="P219" cm="1">
        <f t="array" ref="P2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20" spans="1:16" x14ac:dyDescent="0.25">
      <c r="A220" t="s">
        <v>1182</v>
      </c>
      <c r="B220" s="1">
        <v>46048</v>
      </c>
      <c r="C220" s="4">
        <v>0.70416666666666672</v>
      </c>
      <c r="D220" t="s">
        <v>28</v>
      </c>
      <c r="E220" t="s">
        <v>23</v>
      </c>
      <c r="F220" t="s">
        <v>361</v>
      </c>
      <c r="G220">
        <v>51</v>
      </c>
      <c r="H220" t="s">
        <v>849</v>
      </c>
      <c r="I220" t="s">
        <v>34</v>
      </c>
      <c r="J220">
        <v>82</v>
      </c>
      <c r="K220">
        <v>57</v>
      </c>
      <c r="L220">
        <v>2.9</v>
      </c>
      <c r="M220" t="s">
        <v>14</v>
      </c>
      <c r="N220" s="2">
        <v>952.66</v>
      </c>
      <c r="O220" s="2" t="str">
        <f>IF(EHR_Export[[#This Row],[Arrival Time]]&lt;=TIME(7,0,0), "Night", IF(EHR_Export[[#This Row],[Arrival Time]]&lt;TIME(15,0,0), "Day", "Evening"))</f>
        <v>Evening</v>
      </c>
      <c r="P220" cm="1">
        <f t="array" ref="P2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221" spans="1:16" x14ac:dyDescent="0.25">
      <c r="A221" t="s">
        <v>1246</v>
      </c>
      <c r="B221" s="1">
        <v>46048</v>
      </c>
      <c r="C221" s="4">
        <v>0.43819444444444444</v>
      </c>
      <c r="D221" t="s">
        <v>21</v>
      </c>
      <c r="E221" t="s">
        <v>53</v>
      </c>
      <c r="F221" t="s">
        <v>425</v>
      </c>
      <c r="G221">
        <v>6</v>
      </c>
      <c r="H221" t="s">
        <v>849</v>
      </c>
      <c r="I221" t="s">
        <v>38</v>
      </c>
      <c r="J221">
        <v>35</v>
      </c>
      <c r="K221">
        <v>10</v>
      </c>
      <c r="L221">
        <v>3.2</v>
      </c>
      <c r="M221" t="s">
        <v>14</v>
      </c>
      <c r="N221" s="2">
        <v>319.33999999999997</v>
      </c>
      <c r="O221" s="2" t="str">
        <f>IF(EHR_Export[[#This Row],[Arrival Time]]&lt;=TIME(7,0,0), "Night", IF(EHR_Export[[#This Row],[Arrival Time]]&lt;TIME(15,0,0), "Day", "Evening"))</f>
        <v>Day</v>
      </c>
      <c r="P221" cm="1">
        <f t="array" ref="P2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22" spans="1:16" x14ac:dyDescent="0.25">
      <c r="A222" t="s">
        <v>1271</v>
      </c>
      <c r="B222" s="1">
        <v>46048</v>
      </c>
      <c r="C222" s="4">
        <v>0.31666666666666665</v>
      </c>
      <c r="D222" t="s">
        <v>21</v>
      </c>
      <c r="E222" t="s">
        <v>53</v>
      </c>
      <c r="F222" t="s">
        <v>450</v>
      </c>
      <c r="G222">
        <v>87</v>
      </c>
      <c r="H222" t="s">
        <v>847</v>
      </c>
      <c r="I222" t="s">
        <v>38</v>
      </c>
      <c r="J222">
        <v>5</v>
      </c>
      <c r="K222">
        <v>27</v>
      </c>
      <c r="L222">
        <v>4</v>
      </c>
      <c r="M222" t="s">
        <v>14</v>
      </c>
      <c r="N222" s="2">
        <v>684.71</v>
      </c>
      <c r="O222" s="2" t="str">
        <f>IF(EHR_Export[[#This Row],[Arrival Time]]&lt;=TIME(7,0,0), "Night", IF(EHR_Export[[#This Row],[Arrival Time]]&lt;TIME(15,0,0), "Day", "Evening"))</f>
        <v>Day</v>
      </c>
      <c r="P222" cm="1">
        <f t="array" ref="P2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23" spans="1:16" x14ac:dyDescent="0.25">
      <c r="A223" t="s">
        <v>1311</v>
      </c>
      <c r="B223" s="1">
        <v>46048</v>
      </c>
      <c r="C223" s="4">
        <v>0.34166666666666667</v>
      </c>
      <c r="D223" t="s">
        <v>28</v>
      </c>
      <c r="E223" t="s">
        <v>23</v>
      </c>
      <c r="F223" t="s">
        <v>490</v>
      </c>
      <c r="G223">
        <v>60</v>
      </c>
      <c r="H223" t="s">
        <v>847</v>
      </c>
      <c r="I223" t="s">
        <v>34</v>
      </c>
      <c r="J223">
        <v>59</v>
      </c>
      <c r="K223">
        <v>38</v>
      </c>
      <c r="M223" t="s">
        <v>14</v>
      </c>
      <c r="N223" s="2">
        <v>1102.24</v>
      </c>
      <c r="O223" s="2" t="str">
        <f>IF(EHR_Export[[#This Row],[Arrival Time]]&lt;=TIME(7,0,0), "Night", IF(EHR_Export[[#This Row],[Arrival Time]]&lt;TIME(15,0,0), "Day", "Evening"))</f>
        <v>Day</v>
      </c>
      <c r="P223" cm="1">
        <f t="array" ref="P2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24" spans="1:16" x14ac:dyDescent="0.25">
      <c r="A224" t="s">
        <v>1417</v>
      </c>
      <c r="B224" s="1">
        <v>46048</v>
      </c>
      <c r="C224" s="4">
        <v>0.39166666666666666</v>
      </c>
      <c r="D224" t="s">
        <v>28</v>
      </c>
      <c r="E224" t="s">
        <v>23</v>
      </c>
      <c r="F224" t="s">
        <v>596</v>
      </c>
      <c r="G224">
        <v>75</v>
      </c>
      <c r="H224" t="s">
        <v>849</v>
      </c>
      <c r="I224" t="s">
        <v>38</v>
      </c>
      <c r="J224">
        <v>31</v>
      </c>
      <c r="K224">
        <v>15</v>
      </c>
      <c r="L224">
        <v>3.3</v>
      </c>
      <c r="M224" t="s">
        <v>18</v>
      </c>
      <c r="N224" s="2">
        <v>929.13</v>
      </c>
      <c r="O224" s="2" t="str">
        <f>IF(EHR_Export[[#This Row],[Arrival Time]]&lt;=TIME(7,0,0), "Night", IF(EHR_Export[[#This Row],[Arrival Time]]&lt;TIME(15,0,0), "Day", "Evening"))</f>
        <v>Day</v>
      </c>
      <c r="P224" cm="1">
        <f t="array" ref="P2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25" spans="1:16" x14ac:dyDescent="0.25">
      <c r="A225" t="s">
        <v>1528</v>
      </c>
      <c r="B225" s="1">
        <v>46048</v>
      </c>
      <c r="C225" s="4">
        <v>0.74444444444444446</v>
      </c>
      <c r="D225" t="s">
        <v>48</v>
      </c>
      <c r="E225" t="s">
        <v>42</v>
      </c>
      <c r="F225" t="s">
        <v>707</v>
      </c>
      <c r="G225">
        <v>37</v>
      </c>
      <c r="H225" t="s">
        <v>847</v>
      </c>
      <c r="I225" t="s">
        <v>34</v>
      </c>
      <c r="J225">
        <v>76</v>
      </c>
      <c r="K225">
        <v>19</v>
      </c>
      <c r="L225">
        <v>3.2</v>
      </c>
      <c r="M225" t="s">
        <v>14</v>
      </c>
      <c r="N225" s="2">
        <v>1473.68</v>
      </c>
      <c r="O225" s="2" t="str">
        <f>IF(EHR_Export[[#This Row],[Arrival Time]]&lt;=TIME(7,0,0), "Night", IF(EHR_Export[[#This Row],[Arrival Time]]&lt;TIME(15,0,0), "Day", "Evening"))</f>
        <v>Evening</v>
      </c>
      <c r="P225" cm="1">
        <f t="array" ref="P2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26" spans="1:16" x14ac:dyDescent="0.25">
      <c r="A226" t="s">
        <v>871</v>
      </c>
      <c r="B226" s="1">
        <v>46049</v>
      </c>
      <c r="C226" s="4">
        <v>0.85416666666666663</v>
      </c>
      <c r="D226" t="s">
        <v>48</v>
      </c>
      <c r="E226" t="s">
        <v>42</v>
      </c>
      <c r="F226" t="s">
        <v>45</v>
      </c>
      <c r="G226">
        <v>48</v>
      </c>
      <c r="H226" t="s">
        <v>847</v>
      </c>
      <c r="I226" t="s">
        <v>34</v>
      </c>
      <c r="J226">
        <v>56</v>
      </c>
      <c r="K226">
        <v>58</v>
      </c>
      <c r="L226">
        <v>3.2</v>
      </c>
      <c r="M226" t="s">
        <v>14</v>
      </c>
      <c r="N226" s="2">
        <v>1217.9100000000001</v>
      </c>
      <c r="O226" s="2" t="str">
        <f>IF(EHR_Export[[#This Row],[Arrival Time]]&lt;=TIME(7,0,0), "Night", IF(EHR_Export[[#This Row],[Arrival Time]]&lt;TIME(15,0,0), "Day", "Evening"))</f>
        <v>Evening</v>
      </c>
      <c r="P226" cm="1">
        <f t="array" ref="P2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27" spans="1:16" x14ac:dyDescent="0.25">
      <c r="A227" t="s">
        <v>929</v>
      </c>
      <c r="B227" s="1">
        <v>46049</v>
      </c>
      <c r="C227" s="4">
        <v>0.70625000000000004</v>
      </c>
      <c r="D227" t="s">
        <v>28</v>
      </c>
      <c r="E227" t="s">
        <v>23</v>
      </c>
      <c r="F227" t="s">
        <v>107</v>
      </c>
      <c r="G227">
        <v>38</v>
      </c>
      <c r="H227" t="s">
        <v>847</v>
      </c>
      <c r="I227" t="s">
        <v>34</v>
      </c>
      <c r="J227">
        <v>70</v>
      </c>
      <c r="K227">
        <v>22</v>
      </c>
      <c r="L227">
        <v>4.4000000000000004</v>
      </c>
      <c r="M227" t="s">
        <v>14</v>
      </c>
      <c r="N227" s="2">
        <v>1196.93</v>
      </c>
      <c r="O227" s="2" t="str">
        <f>IF(EHR_Export[[#This Row],[Arrival Time]]&lt;=TIME(7,0,0), "Night", IF(EHR_Export[[#This Row],[Arrival Time]]&lt;TIME(15,0,0), "Day", "Evening"))</f>
        <v>Evening</v>
      </c>
      <c r="P227" cm="1">
        <f t="array" ref="P2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228" spans="1:16" x14ac:dyDescent="0.25">
      <c r="A228" t="s">
        <v>933</v>
      </c>
      <c r="B228" s="1">
        <v>46049</v>
      </c>
      <c r="C228" s="4">
        <v>0.65416666666666667</v>
      </c>
      <c r="D228" t="s">
        <v>28</v>
      </c>
      <c r="E228" t="s">
        <v>23</v>
      </c>
      <c r="F228" t="s">
        <v>111</v>
      </c>
      <c r="G228">
        <v>1</v>
      </c>
      <c r="H228" t="s">
        <v>849</v>
      </c>
      <c r="I228" t="s">
        <v>13</v>
      </c>
      <c r="J228">
        <v>25</v>
      </c>
      <c r="K228">
        <v>10</v>
      </c>
      <c r="L228">
        <v>3.8</v>
      </c>
      <c r="M228" t="s">
        <v>14</v>
      </c>
      <c r="N228" s="2">
        <v>496.22</v>
      </c>
      <c r="O228" s="2" t="str">
        <f>IF(EHR_Export[[#This Row],[Arrival Time]]&lt;=TIME(7,0,0), "Night", IF(EHR_Export[[#This Row],[Arrival Time]]&lt;TIME(15,0,0), "Day", "Evening"))</f>
        <v>Evening</v>
      </c>
      <c r="P228" cm="1">
        <f t="array" ref="P2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229" spans="1:16" x14ac:dyDescent="0.25">
      <c r="A229" t="s">
        <v>1237</v>
      </c>
      <c r="B229" s="1">
        <v>46049</v>
      </c>
      <c r="C229" s="4">
        <v>0.48958333333333331</v>
      </c>
      <c r="D229" t="s">
        <v>28</v>
      </c>
      <c r="E229" t="s">
        <v>23</v>
      </c>
      <c r="F229" t="s">
        <v>416</v>
      </c>
      <c r="G229">
        <v>72</v>
      </c>
      <c r="H229" t="s">
        <v>847</v>
      </c>
      <c r="I229" t="s">
        <v>34</v>
      </c>
      <c r="J229">
        <v>54</v>
      </c>
      <c r="K229">
        <v>42</v>
      </c>
      <c r="L229">
        <v>3.3</v>
      </c>
      <c r="M229" t="s">
        <v>14</v>
      </c>
      <c r="N229" s="2">
        <v>835.47</v>
      </c>
      <c r="O229" s="2" t="str">
        <f>IF(EHR_Export[[#This Row],[Arrival Time]]&lt;=TIME(7,0,0), "Night", IF(EHR_Export[[#This Row],[Arrival Time]]&lt;TIME(15,0,0), "Day", "Evening"))</f>
        <v>Day</v>
      </c>
      <c r="P229" cm="1">
        <f t="array" ref="P2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30" spans="1:16" x14ac:dyDescent="0.25">
      <c r="A230" t="s">
        <v>1239</v>
      </c>
      <c r="B230" s="1">
        <v>46049</v>
      </c>
      <c r="C230" s="4">
        <v>0.7895833333333333</v>
      </c>
      <c r="D230" t="s">
        <v>58</v>
      </c>
      <c r="E230" t="s">
        <v>842</v>
      </c>
      <c r="F230" t="s">
        <v>418</v>
      </c>
      <c r="G230">
        <v>41</v>
      </c>
      <c r="H230" t="s">
        <v>849</v>
      </c>
      <c r="I230" t="s">
        <v>34</v>
      </c>
      <c r="J230">
        <v>76</v>
      </c>
      <c r="K230">
        <v>84</v>
      </c>
      <c r="L230">
        <v>3</v>
      </c>
      <c r="M230" t="s">
        <v>14</v>
      </c>
      <c r="N230" s="2">
        <v>3586.69</v>
      </c>
      <c r="O230" s="2" t="str">
        <f>IF(EHR_Export[[#This Row],[Arrival Time]]&lt;=TIME(7,0,0), "Night", IF(EHR_Export[[#This Row],[Arrival Time]]&lt;TIME(15,0,0), "Day", "Evening"))</f>
        <v>Evening</v>
      </c>
      <c r="P230" cm="1">
        <f t="array" ref="P2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31" spans="1:16" x14ac:dyDescent="0.25">
      <c r="A231" t="s">
        <v>1254</v>
      </c>
      <c r="B231" s="1">
        <v>46049</v>
      </c>
      <c r="C231" s="4">
        <v>0.76249999999999996</v>
      </c>
      <c r="D231" t="s">
        <v>48</v>
      </c>
      <c r="E231" t="s">
        <v>42</v>
      </c>
      <c r="F231" t="s">
        <v>433</v>
      </c>
      <c r="G231">
        <v>58</v>
      </c>
      <c r="H231" t="s">
        <v>847</v>
      </c>
      <c r="I231" t="s">
        <v>25</v>
      </c>
      <c r="J231">
        <v>69</v>
      </c>
      <c r="K231">
        <v>68</v>
      </c>
      <c r="L231">
        <v>3.1</v>
      </c>
      <c r="M231" t="s">
        <v>14</v>
      </c>
      <c r="N231" s="2">
        <v>795.98</v>
      </c>
      <c r="O231" s="2" t="str">
        <f>IF(EHR_Export[[#This Row],[Arrival Time]]&lt;=TIME(7,0,0), "Night", IF(EHR_Export[[#This Row],[Arrival Time]]&lt;TIME(15,0,0), "Day", "Evening"))</f>
        <v>Evening</v>
      </c>
      <c r="P231" cm="1">
        <f t="array" ref="P2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32" spans="1:16" x14ac:dyDescent="0.25">
      <c r="A232" t="s">
        <v>1302</v>
      </c>
      <c r="B232" s="1">
        <v>46049</v>
      </c>
      <c r="C232" s="4">
        <v>0.82638888888888884</v>
      </c>
      <c r="D232" t="s">
        <v>48</v>
      </c>
      <c r="E232" t="s">
        <v>42</v>
      </c>
      <c r="F232" t="s">
        <v>481</v>
      </c>
      <c r="G232">
        <v>83</v>
      </c>
      <c r="H232" t="s">
        <v>847</v>
      </c>
      <c r="I232" t="s">
        <v>13</v>
      </c>
      <c r="J232">
        <v>78</v>
      </c>
      <c r="K232">
        <v>74</v>
      </c>
      <c r="L232">
        <v>3.6</v>
      </c>
      <c r="M232" t="s">
        <v>14</v>
      </c>
      <c r="N232" s="2">
        <v>1621.55</v>
      </c>
      <c r="O232" s="2" t="str">
        <f>IF(EHR_Export[[#This Row],[Arrival Time]]&lt;=TIME(7,0,0), "Night", IF(EHR_Export[[#This Row],[Arrival Time]]&lt;TIME(15,0,0), "Day", "Evening"))</f>
        <v>Evening</v>
      </c>
      <c r="P232" cm="1">
        <f t="array" ref="P2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33" spans="1:16" x14ac:dyDescent="0.25">
      <c r="A233" t="s">
        <v>1484</v>
      </c>
      <c r="B233" s="1">
        <v>46049</v>
      </c>
      <c r="C233" s="4">
        <v>0.3034722222222222</v>
      </c>
      <c r="D233" t="s">
        <v>28</v>
      </c>
      <c r="E233" t="s">
        <v>23</v>
      </c>
      <c r="F233" t="s">
        <v>663</v>
      </c>
      <c r="G233">
        <v>66</v>
      </c>
      <c r="H233" t="s">
        <v>847</v>
      </c>
      <c r="I233" t="s">
        <v>34</v>
      </c>
      <c r="J233">
        <v>24</v>
      </c>
      <c r="K233">
        <v>50</v>
      </c>
      <c r="L233">
        <v>4</v>
      </c>
      <c r="M233" t="s">
        <v>18</v>
      </c>
      <c r="N233" s="2">
        <v>749.08</v>
      </c>
      <c r="O233" s="2" t="str">
        <f>IF(EHR_Export[[#This Row],[Arrival Time]]&lt;=TIME(7,0,0), "Night", IF(EHR_Export[[#This Row],[Arrival Time]]&lt;TIME(15,0,0), "Day", "Evening"))</f>
        <v>Day</v>
      </c>
      <c r="P233" cm="1">
        <f t="array" ref="P2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34" spans="1:16" x14ac:dyDescent="0.25">
      <c r="A234" t="s">
        <v>1489</v>
      </c>
      <c r="B234" s="1">
        <v>46049</v>
      </c>
      <c r="C234" s="4">
        <v>0.37291666666666667</v>
      </c>
      <c r="D234" t="s">
        <v>28</v>
      </c>
      <c r="E234" t="s">
        <v>23</v>
      </c>
      <c r="F234" t="s">
        <v>668</v>
      </c>
      <c r="G234">
        <v>80</v>
      </c>
      <c r="H234" t="s">
        <v>849</v>
      </c>
      <c r="I234" t="s">
        <v>25</v>
      </c>
      <c r="J234">
        <v>41</v>
      </c>
      <c r="K234">
        <v>64</v>
      </c>
      <c r="L234">
        <v>3.1</v>
      </c>
      <c r="M234" t="s">
        <v>14</v>
      </c>
      <c r="N234" s="2">
        <v>499.8</v>
      </c>
      <c r="O234" s="2" t="str">
        <f>IF(EHR_Export[[#This Row],[Arrival Time]]&lt;=TIME(7,0,0), "Night", IF(EHR_Export[[#This Row],[Arrival Time]]&lt;TIME(15,0,0), "Day", "Evening"))</f>
        <v>Day</v>
      </c>
      <c r="P234" cm="1">
        <f t="array" ref="P2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35" spans="1:16" x14ac:dyDescent="0.25">
      <c r="A235" t="s">
        <v>1518</v>
      </c>
      <c r="B235" s="1">
        <v>46049</v>
      </c>
      <c r="C235" s="4">
        <v>0.48472222222222222</v>
      </c>
      <c r="D235" t="s">
        <v>48</v>
      </c>
      <c r="E235" t="s">
        <v>42</v>
      </c>
      <c r="F235" t="s">
        <v>697</v>
      </c>
      <c r="G235">
        <v>20</v>
      </c>
      <c r="H235" t="s">
        <v>847</v>
      </c>
      <c r="I235" t="s">
        <v>38</v>
      </c>
      <c r="J235">
        <v>22</v>
      </c>
      <c r="K235">
        <v>56</v>
      </c>
      <c r="L235">
        <v>3.5</v>
      </c>
      <c r="M235" t="s">
        <v>14</v>
      </c>
      <c r="N235" s="2">
        <v>1786.66</v>
      </c>
      <c r="O235" s="2" t="str">
        <f>IF(EHR_Export[[#This Row],[Arrival Time]]&lt;=TIME(7,0,0), "Night", IF(EHR_Export[[#This Row],[Arrival Time]]&lt;TIME(15,0,0), "Day", "Evening"))</f>
        <v>Day</v>
      </c>
      <c r="P235" cm="1">
        <f t="array" ref="P2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36" spans="1:16" x14ac:dyDescent="0.25">
      <c r="A236" t="s">
        <v>1237</v>
      </c>
      <c r="B236" s="1">
        <v>46049</v>
      </c>
      <c r="C236" s="4">
        <v>0.48958333333333331</v>
      </c>
      <c r="D236" t="s">
        <v>28</v>
      </c>
      <c r="E236" t="s">
        <v>23</v>
      </c>
      <c r="F236" t="s">
        <v>416</v>
      </c>
      <c r="G236">
        <v>72</v>
      </c>
      <c r="H236" t="s">
        <v>847</v>
      </c>
      <c r="I236" t="s">
        <v>34</v>
      </c>
      <c r="J236">
        <v>54</v>
      </c>
      <c r="K236">
        <v>42</v>
      </c>
      <c r="L236">
        <v>3.3</v>
      </c>
      <c r="M236" t="s">
        <v>14</v>
      </c>
      <c r="N236" s="2">
        <v>835.47</v>
      </c>
      <c r="O236" s="2" t="str">
        <f>IF(EHR_Export[[#This Row],[Arrival Time]]&lt;=TIME(7,0,0), "Night", IF(EHR_Export[[#This Row],[Arrival Time]]&lt;TIME(15,0,0), "Day", "Evening"))</f>
        <v>Day</v>
      </c>
      <c r="P236" cm="1">
        <f t="array" ref="P2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37" spans="1:16" x14ac:dyDescent="0.25">
      <c r="A237" t="s">
        <v>944</v>
      </c>
      <c r="B237" s="1">
        <v>46050</v>
      </c>
      <c r="C237" s="4">
        <v>0.52361111111111114</v>
      </c>
      <c r="D237" t="s">
        <v>58</v>
      </c>
      <c r="E237" t="s">
        <v>842</v>
      </c>
      <c r="F237" t="s">
        <v>122</v>
      </c>
      <c r="G237">
        <v>50</v>
      </c>
      <c r="H237" t="s">
        <v>847</v>
      </c>
      <c r="I237" t="s">
        <v>34</v>
      </c>
      <c r="J237">
        <v>54</v>
      </c>
      <c r="K237">
        <v>118</v>
      </c>
      <c r="L237">
        <v>2.9</v>
      </c>
      <c r="M237" t="s">
        <v>14</v>
      </c>
      <c r="N237" s="2">
        <v>2811.24</v>
      </c>
      <c r="O237" s="2" t="str">
        <f>IF(EHR_Export[[#This Row],[Arrival Time]]&lt;=TIME(7,0,0), "Night", IF(EHR_Export[[#This Row],[Arrival Time]]&lt;TIME(15,0,0), "Day", "Evening"))</f>
        <v>Day</v>
      </c>
      <c r="P237" cm="1">
        <f t="array" ref="P2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238" spans="1:16" x14ac:dyDescent="0.25">
      <c r="A238" t="s">
        <v>1040</v>
      </c>
      <c r="B238" s="1">
        <v>46050</v>
      </c>
      <c r="C238" s="4">
        <v>0.42430555555555555</v>
      </c>
      <c r="D238" t="s">
        <v>28</v>
      </c>
      <c r="E238" t="s">
        <v>23</v>
      </c>
      <c r="F238" t="s">
        <v>219</v>
      </c>
      <c r="G238">
        <v>33</v>
      </c>
      <c r="H238" t="s">
        <v>849</v>
      </c>
      <c r="I238" t="s">
        <v>38</v>
      </c>
      <c r="J238">
        <v>84</v>
      </c>
      <c r="K238">
        <v>37</v>
      </c>
      <c r="L238">
        <v>3.6</v>
      </c>
      <c r="M238" t="s">
        <v>14</v>
      </c>
      <c r="N238" s="2">
        <v>937.77</v>
      </c>
      <c r="O238" s="2" t="str">
        <f>IF(EHR_Export[[#This Row],[Arrival Time]]&lt;=TIME(7,0,0), "Night", IF(EHR_Export[[#This Row],[Arrival Time]]&lt;TIME(15,0,0), "Day", "Evening"))</f>
        <v>Day</v>
      </c>
      <c r="P238" cm="1">
        <f t="array" ref="P2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39" spans="1:16" x14ac:dyDescent="0.25">
      <c r="A239" t="s">
        <v>1145</v>
      </c>
      <c r="B239" s="1">
        <v>46050</v>
      </c>
      <c r="C239" s="4">
        <v>0.7729166666666667</v>
      </c>
      <c r="D239" t="s">
        <v>28</v>
      </c>
      <c r="E239" t="s">
        <v>23</v>
      </c>
      <c r="F239" t="s">
        <v>324</v>
      </c>
      <c r="G239">
        <v>53</v>
      </c>
      <c r="H239" t="s">
        <v>849</v>
      </c>
      <c r="I239" t="s">
        <v>38</v>
      </c>
      <c r="J239">
        <v>77</v>
      </c>
      <c r="K239">
        <v>50</v>
      </c>
      <c r="L239">
        <v>4</v>
      </c>
      <c r="M239" t="s">
        <v>14</v>
      </c>
      <c r="N239" s="2">
        <v>543.09</v>
      </c>
      <c r="O239" s="2" t="str">
        <f>IF(EHR_Export[[#This Row],[Arrival Time]]&lt;=TIME(7,0,0), "Night", IF(EHR_Export[[#This Row],[Arrival Time]]&lt;TIME(15,0,0), "Day", "Evening"))</f>
        <v>Evening</v>
      </c>
      <c r="P239" cm="1">
        <f t="array" ref="P2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240" spans="1:16" x14ac:dyDescent="0.25">
      <c r="A240" t="s">
        <v>1152</v>
      </c>
      <c r="B240" s="1">
        <v>46050</v>
      </c>
      <c r="C240" s="4">
        <v>0.71111111111111114</v>
      </c>
      <c r="D240" t="s">
        <v>21</v>
      </c>
      <c r="E240" t="s">
        <v>53</v>
      </c>
      <c r="F240" t="s">
        <v>331</v>
      </c>
      <c r="G240">
        <v>32</v>
      </c>
      <c r="H240" t="s">
        <v>849</v>
      </c>
      <c r="I240" t="s">
        <v>38</v>
      </c>
      <c r="J240">
        <v>71</v>
      </c>
      <c r="K240">
        <v>43</v>
      </c>
      <c r="L240">
        <v>3.1</v>
      </c>
      <c r="M240" t="s">
        <v>14</v>
      </c>
      <c r="N240" s="2">
        <v>456.98</v>
      </c>
      <c r="O240" s="2" t="str">
        <f>IF(EHR_Export[[#This Row],[Arrival Time]]&lt;=TIME(7,0,0), "Night", IF(EHR_Export[[#This Row],[Arrival Time]]&lt;TIME(15,0,0), "Day", "Evening"))</f>
        <v>Evening</v>
      </c>
      <c r="P240" cm="1">
        <f t="array" ref="P2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41" spans="1:16" x14ac:dyDescent="0.25">
      <c r="A241" t="s">
        <v>1173</v>
      </c>
      <c r="B241" s="1">
        <v>46050</v>
      </c>
      <c r="C241" s="4">
        <v>0.4465277777777778</v>
      </c>
      <c r="D241" t="s">
        <v>28</v>
      </c>
      <c r="E241" t="s">
        <v>23</v>
      </c>
      <c r="F241" t="s">
        <v>352</v>
      </c>
      <c r="G241">
        <v>18</v>
      </c>
      <c r="H241" t="s">
        <v>847</v>
      </c>
      <c r="I241" t="s">
        <v>25</v>
      </c>
      <c r="J241">
        <v>41</v>
      </c>
      <c r="K241">
        <v>41</v>
      </c>
      <c r="L241">
        <v>3.7</v>
      </c>
      <c r="M241" t="s">
        <v>14</v>
      </c>
      <c r="N241" s="2">
        <v>715.6</v>
      </c>
      <c r="O241" s="2" t="str">
        <f>IF(EHR_Export[[#This Row],[Arrival Time]]&lt;=TIME(7,0,0), "Night", IF(EHR_Export[[#This Row],[Arrival Time]]&lt;TIME(15,0,0), "Day", "Evening"))</f>
        <v>Day</v>
      </c>
      <c r="P241" cm="1">
        <f t="array" ref="P2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42" spans="1:16" x14ac:dyDescent="0.25">
      <c r="A242" t="s">
        <v>1229</v>
      </c>
      <c r="B242" s="1">
        <v>46050</v>
      </c>
      <c r="C242" s="4">
        <v>0.60277777777777775</v>
      </c>
      <c r="D242" t="s">
        <v>58</v>
      </c>
      <c r="E242" t="s">
        <v>842</v>
      </c>
      <c r="F242" t="s">
        <v>408</v>
      </c>
      <c r="G242">
        <v>999</v>
      </c>
      <c r="H242" t="s">
        <v>849</v>
      </c>
      <c r="I242" t="s">
        <v>34</v>
      </c>
      <c r="J242">
        <v>58</v>
      </c>
      <c r="K242">
        <v>81</v>
      </c>
      <c r="L242">
        <v>3.6</v>
      </c>
      <c r="M242" t="s">
        <v>14</v>
      </c>
      <c r="N242" s="2">
        <v>4312.8</v>
      </c>
      <c r="O242" s="2" t="str">
        <f>IF(EHR_Export[[#This Row],[Arrival Time]]&lt;=TIME(7,0,0), "Night", IF(EHR_Export[[#This Row],[Arrival Time]]&lt;TIME(15,0,0), "Day", "Evening"))</f>
        <v>Day</v>
      </c>
      <c r="P242" cm="1">
        <f t="array" ref="P2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243" spans="1:16" x14ac:dyDescent="0.25">
      <c r="A243" t="s">
        <v>1362</v>
      </c>
      <c r="B243" s="1">
        <v>46050</v>
      </c>
      <c r="C243" s="4">
        <v>0.77222222222222225</v>
      </c>
      <c r="D243" t="s">
        <v>21</v>
      </c>
      <c r="E243" t="s">
        <v>53</v>
      </c>
      <c r="F243" t="s">
        <v>541</v>
      </c>
      <c r="G243">
        <v>51</v>
      </c>
      <c r="H243" t="s">
        <v>849</v>
      </c>
      <c r="I243" t="s">
        <v>34</v>
      </c>
      <c r="J243">
        <v>61</v>
      </c>
      <c r="K243">
        <v>20</v>
      </c>
      <c r="L243">
        <v>3.8</v>
      </c>
      <c r="M243" t="s">
        <v>14</v>
      </c>
      <c r="N243" s="2">
        <v>471.58</v>
      </c>
      <c r="O243" s="2" t="str">
        <f>IF(EHR_Export[[#This Row],[Arrival Time]]&lt;=TIME(7,0,0), "Night", IF(EHR_Export[[#This Row],[Arrival Time]]&lt;TIME(15,0,0), "Day", "Evening"))</f>
        <v>Evening</v>
      </c>
      <c r="P243" cm="1">
        <f t="array" ref="P2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44" spans="1:16" x14ac:dyDescent="0.25">
      <c r="A244" t="s">
        <v>1428</v>
      </c>
      <c r="B244" s="1">
        <v>46050</v>
      </c>
      <c r="C244" s="4">
        <v>0.61388888888888893</v>
      </c>
      <c r="D244" t="s">
        <v>58</v>
      </c>
      <c r="E244" t="s">
        <v>842</v>
      </c>
      <c r="F244" t="s">
        <v>607</v>
      </c>
      <c r="G244">
        <v>51</v>
      </c>
      <c r="H244" t="s">
        <v>847</v>
      </c>
      <c r="I244" t="s">
        <v>38</v>
      </c>
      <c r="J244">
        <v>48</v>
      </c>
      <c r="K244">
        <v>104</v>
      </c>
      <c r="L244">
        <v>3.4</v>
      </c>
      <c r="M244" t="s">
        <v>18</v>
      </c>
      <c r="N244" s="2">
        <v>1922.52</v>
      </c>
      <c r="O244" s="2" t="str">
        <f>IF(EHR_Export[[#This Row],[Arrival Time]]&lt;=TIME(7,0,0), "Night", IF(EHR_Export[[#This Row],[Arrival Time]]&lt;TIME(15,0,0), "Day", "Evening"))</f>
        <v>Day</v>
      </c>
      <c r="P244" cm="1">
        <f t="array" ref="P2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245" spans="1:16" x14ac:dyDescent="0.25">
      <c r="A245" t="s">
        <v>1461</v>
      </c>
      <c r="B245" s="1">
        <v>46050</v>
      </c>
      <c r="C245" s="4">
        <v>0.40694444444444444</v>
      </c>
      <c r="D245" t="s">
        <v>126</v>
      </c>
      <c r="E245" t="s">
        <v>46</v>
      </c>
      <c r="F245" t="s">
        <v>640</v>
      </c>
      <c r="G245">
        <v>33</v>
      </c>
      <c r="H245" t="s">
        <v>849</v>
      </c>
      <c r="I245" t="s">
        <v>25</v>
      </c>
      <c r="J245">
        <v>6</v>
      </c>
      <c r="K245">
        <v>69</v>
      </c>
      <c r="L245">
        <v>4.2</v>
      </c>
      <c r="M245" t="s">
        <v>14</v>
      </c>
      <c r="N245" s="2">
        <v>1388.93</v>
      </c>
      <c r="O245" s="2" t="str">
        <f>IF(EHR_Export[[#This Row],[Arrival Time]]&lt;=TIME(7,0,0), "Night", IF(EHR_Export[[#This Row],[Arrival Time]]&lt;TIME(15,0,0), "Day", "Evening"))</f>
        <v>Day</v>
      </c>
      <c r="P245" cm="1">
        <f t="array" ref="P2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46" spans="1:16" x14ac:dyDescent="0.25">
      <c r="A246" t="s">
        <v>1550</v>
      </c>
      <c r="B246" s="1">
        <v>46050</v>
      </c>
      <c r="C246" s="4">
        <v>0.70625000000000004</v>
      </c>
      <c r="D246" t="s">
        <v>21</v>
      </c>
      <c r="E246" t="s">
        <v>53</v>
      </c>
      <c r="F246" t="s">
        <v>729</v>
      </c>
      <c r="G246">
        <v>36</v>
      </c>
      <c r="H246" t="s">
        <v>847</v>
      </c>
      <c r="I246" t="s">
        <v>34</v>
      </c>
      <c r="J246">
        <v>16</v>
      </c>
      <c r="K246">
        <v>23</v>
      </c>
      <c r="L246">
        <v>4.7</v>
      </c>
      <c r="M246" t="s">
        <v>14</v>
      </c>
      <c r="N246" s="2">
        <v>908.94</v>
      </c>
      <c r="O246" s="2" t="str">
        <f>IF(EHR_Export[[#This Row],[Arrival Time]]&lt;=TIME(7,0,0), "Night", IF(EHR_Export[[#This Row],[Arrival Time]]&lt;TIME(15,0,0), "Day", "Evening"))</f>
        <v>Evening</v>
      </c>
      <c r="P246" cm="1">
        <f t="array" ref="P2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47" spans="1:16" x14ac:dyDescent="0.25">
      <c r="A247" t="s">
        <v>863</v>
      </c>
      <c r="B247" s="1">
        <v>46051</v>
      </c>
      <c r="C247" s="4">
        <v>0.86875000000000002</v>
      </c>
      <c r="D247" t="s">
        <v>28</v>
      </c>
      <c r="E247" t="s">
        <v>23</v>
      </c>
      <c r="F247" t="s">
        <v>35</v>
      </c>
      <c r="G247">
        <v>42</v>
      </c>
      <c r="H247" t="s">
        <v>847</v>
      </c>
      <c r="I247" t="s">
        <v>13</v>
      </c>
      <c r="J247">
        <v>67</v>
      </c>
      <c r="K247">
        <v>18</v>
      </c>
      <c r="L247">
        <v>4.3</v>
      </c>
      <c r="M247" t="s">
        <v>14</v>
      </c>
      <c r="N247" s="2">
        <v>762.02</v>
      </c>
      <c r="O247" s="2" t="str">
        <f>IF(EHR_Export[[#This Row],[Arrival Time]]&lt;=TIME(7,0,0), "Night", IF(EHR_Export[[#This Row],[Arrival Time]]&lt;TIME(15,0,0), "Day", "Evening"))</f>
        <v>Evening</v>
      </c>
      <c r="P247" cm="1">
        <f t="array" ref="P2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48" spans="1:16" x14ac:dyDescent="0.25">
      <c r="A248" t="s">
        <v>868</v>
      </c>
      <c r="B248" s="1">
        <v>46051</v>
      </c>
      <c r="C248" s="4">
        <v>0.98541666666666672</v>
      </c>
      <c r="D248" t="s">
        <v>126</v>
      </c>
      <c r="E248" t="s">
        <v>46</v>
      </c>
      <c r="F248" t="s">
        <v>41</v>
      </c>
      <c r="G248">
        <v>53</v>
      </c>
      <c r="H248" t="s">
        <v>849</v>
      </c>
      <c r="I248" t="s">
        <v>13</v>
      </c>
      <c r="J248">
        <v>57</v>
      </c>
      <c r="K248">
        <v>34</v>
      </c>
      <c r="L248">
        <v>3.7</v>
      </c>
      <c r="M248" t="s">
        <v>14</v>
      </c>
      <c r="N248" s="2">
        <v>1920.54</v>
      </c>
      <c r="O248" s="2" t="str">
        <f>IF(EHR_Export[[#This Row],[Arrival Time]]&lt;=TIME(7,0,0), "Night", IF(EHR_Export[[#This Row],[Arrival Time]]&lt;TIME(15,0,0), "Day", "Evening"))</f>
        <v>Evening</v>
      </c>
      <c r="P248" cm="1">
        <f t="array" ref="P2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249" spans="1:16" x14ac:dyDescent="0.25">
      <c r="A249" t="s">
        <v>959</v>
      </c>
      <c r="B249" s="1">
        <v>46051</v>
      </c>
      <c r="C249" s="4">
        <v>0.52986111111111112</v>
      </c>
      <c r="D249" t="s">
        <v>48</v>
      </c>
      <c r="E249" t="s">
        <v>42</v>
      </c>
      <c r="F249" t="s">
        <v>138</v>
      </c>
      <c r="G249">
        <v>47</v>
      </c>
      <c r="H249" t="s">
        <v>849</v>
      </c>
      <c r="I249" t="s">
        <v>25</v>
      </c>
      <c r="J249">
        <v>30</v>
      </c>
      <c r="K249">
        <v>10</v>
      </c>
      <c r="L249">
        <v>4.0999999999999996</v>
      </c>
      <c r="M249" t="s">
        <v>14</v>
      </c>
      <c r="N249" s="2">
        <v>1132.31</v>
      </c>
      <c r="O249" s="2" t="str">
        <f>IF(EHR_Export[[#This Row],[Arrival Time]]&lt;=TIME(7,0,0), "Night", IF(EHR_Export[[#This Row],[Arrival Time]]&lt;TIME(15,0,0), "Day", "Evening"))</f>
        <v>Day</v>
      </c>
      <c r="P249" cm="1">
        <f t="array" ref="P2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50" spans="1:16" x14ac:dyDescent="0.25">
      <c r="A250" t="s">
        <v>976</v>
      </c>
      <c r="B250" s="1">
        <v>46051</v>
      </c>
      <c r="C250" s="4">
        <v>0.94791666666666663</v>
      </c>
      <c r="D250" t="s">
        <v>48</v>
      </c>
      <c r="E250" t="s">
        <v>42</v>
      </c>
      <c r="F250" t="s">
        <v>155</v>
      </c>
      <c r="G250">
        <v>43</v>
      </c>
      <c r="H250" t="s">
        <v>847</v>
      </c>
      <c r="I250" t="s">
        <v>34</v>
      </c>
      <c r="J250">
        <v>78</v>
      </c>
      <c r="K250">
        <v>44</v>
      </c>
      <c r="L250">
        <v>2.8</v>
      </c>
      <c r="M250" t="s">
        <v>14</v>
      </c>
      <c r="N250" s="2">
        <v>1681.17</v>
      </c>
      <c r="O250" s="2" t="str">
        <f>IF(EHR_Export[[#This Row],[Arrival Time]]&lt;=TIME(7,0,0), "Night", IF(EHR_Export[[#This Row],[Arrival Time]]&lt;TIME(15,0,0), "Day", "Evening"))</f>
        <v>Evening</v>
      </c>
      <c r="P250" cm="1">
        <f t="array" ref="P2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251" spans="1:16" x14ac:dyDescent="0.25">
      <c r="A251" t="s">
        <v>1046</v>
      </c>
      <c r="B251" s="1">
        <v>46051</v>
      </c>
      <c r="C251" s="4">
        <v>0.44236111111111109</v>
      </c>
      <c r="D251" t="s">
        <v>21</v>
      </c>
      <c r="E251" t="s">
        <v>53</v>
      </c>
      <c r="F251" t="s">
        <v>225</v>
      </c>
      <c r="G251">
        <v>61</v>
      </c>
      <c r="H251" t="s">
        <v>847</v>
      </c>
      <c r="I251" t="s">
        <v>38</v>
      </c>
      <c r="J251">
        <v>5</v>
      </c>
      <c r="K251">
        <v>60</v>
      </c>
      <c r="L251">
        <v>2.7</v>
      </c>
      <c r="M251" t="s">
        <v>14</v>
      </c>
      <c r="N251" s="2">
        <v>765.11</v>
      </c>
      <c r="O251" s="2" t="str">
        <f>IF(EHR_Export[[#This Row],[Arrival Time]]&lt;=TIME(7,0,0), "Night", IF(EHR_Export[[#This Row],[Arrival Time]]&lt;TIME(15,0,0), "Day", "Evening"))</f>
        <v>Day</v>
      </c>
      <c r="P251" cm="1">
        <f t="array" ref="P2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52" spans="1:16" x14ac:dyDescent="0.25">
      <c r="A252" t="s">
        <v>1158</v>
      </c>
      <c r="B252" s="1">
        <v>46051</v>
      </c>
      <c r="C252" s="4">
        <v>0.9506944444444444</v>
      </c>
      <c r="D252" t="s">
        <v>28</v>
      </c>
      <c r="E252" t="s">
        <v>23</v>
      </c>
      <c r="F252" t="s">
        <v>337</v>
      </c>
      <c r="G252">
        <v>36</v>
      </c>
      <c r="H252" t="s">
        <v>847</v>
      </c>
      <c r="I252" t="s">
        <v>38</v>
      </c>
      <c r="J252">
        <v>69</v>
      </c>
      <c r="K252">
        <v>44</v>
      </c>
      <c r="L252">
        <v>3</v>
      </c>
      <c r="M252" t="s">
        <v>14</v>
      </c>
      <c r="N252" s="2">
        <v>581.38</v>
      </c>
      <c r="O252" s="2" t="str">
        <f>IF(EHR_Export[[#This Row],[Arrival Time]]&lt;=TIME(7,0,0), "Night", IF(EHR_Export[[#This Row],[Arrival Time]]&lt;TIME(15,0,0), "Day", "Evening"))</f>
        <v>Evening</v>
      </c>
      <c r="P252" cm="1">
        <f t="array" ref="P2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53" spans="1:16" x14ac:dyDescent="0.25">
      <c r="A253" t="s">
        <v>1286</v>
      </c>
      <c r="B253" s="1">
        <v>46051</v>
      </c>
      <c r="C253" s="4">
        <v>0.65208333333333335</v>
      </c>
      <c r="D253" t="s">
        <v>28</v>
      </c>
      <c r="E253" t="s">
        <v>23</v>
      </c>
      <c r="F253" t="s">
        <v>465</v>
      </c>
      <c r="G253">
        <v>1</v>
      </c>
      <c r="H253" t="s">
        <v>847</v>
      </c>
      <c r="I253" t="s">
        <v>38</v>
      </c>
      <c r="J253">
        <v>34</v>
      </c>
      <c r="K253">
        <v>16</v>
      </c>
      <c r="L253">
        <v>2.9</v>
      </c>
      <c r="M253" t="s">
        <v>14</v>
      </c>
      <c r="N253" s="2">
        <v>934.38</v>
      </c>
      <c r="O253" s="2" t="str">
        <f>IF(EHR_Export[[#This Row],[Arrival Time]]&lt;=TIME(7,0,0), "Night", IF(EHR_Export[[#This Row],[Arrival Time]]&lt;TIME(15,0,0), "Day", "Evening"))</f>
        <v>Evening</v>
      </c>
      <c r="P253" cm="1">
        <f t="array" ref="P2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54" spans="1:16" x14ac:dyDescent="0.25">
      <c r="A254" t="s">
        <v>1425</v>
      </c>
      <c r="B254" s="1">
        <v>46051</v>
      </c>
      <c r="C254" s="4">
        <v>0.7895833333333333</v>
      </c>
      <c r="D254" t="s">
        <v>58</v>
      </c>
      <c r="E254" t="s">
        <v>842</v>
      </c>
      <c r="F254" t="s">
        <v>604</v>
      </c>
      <c r="G254">
        <v>72</v>
      </c>
      <c r="H254" t="s">
        <v>849</v>
      </c>
      <c r="I254" t="s">
        <v>13</v>
      </c>
      <c r="J254">
        <v>80</v>
      </c>
      <c r="K254">
        <v>107</v>
      </c>
      <c r="L254">
        <v>3.3</v>
      </c>
      <c r="M254" t="s">
        <v>14</v>
      </c>
      <c r="N254" s="2">
        <v>2952.19</v>
      </c>
      <c r="O254" s="2" t="str">
        <f>IF(EHR_Export[[#This Row],[Arrival Time]]&lt;=TIME(7,0,0), "Night", IF(EHR_Export[[#This Row],[Arrival Time]]&lt;TIME(15,0,0), "Day", "Evening"))</f>
        <v>Evening</v>
      </c>
      <c r="P254" cm="1">
        <f t="array" ref="P2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55" spans="1:16" x14ac:dyDescent="0.25">
      <c r="A255" t="s">
        <v>1451</v>
      </c>
      <c r="B255" s="1">
        <v>46051</v>
      </c>
      <c r="C255" s="4">
        <v>0.43333333333333335</v>
      </c>
      <c r="D255" t="s">
        <v>28</v>
      </c>
      <c r="E255" t="s">
        <v>23</v>
      </c>
      <c r="F255" t="s">
        <v>630</v>
      </c>
      <c r="G255">
        <v>45</v>
      </c>
      <c r="H255" t="s">
        <v>847</v>
      </c>
      <c r="I255" t="s">
        <v>38</v>
      </c>
      <c r="J255">
        <v>25</v>
      </c>
      <c r="K255">
        <v>10</v>
      </c>
      <c r="L255">
        <v>4.0999999999999996</v>
      </c>
      <c r="M255" t="s">
        <v>14</v>
      </c>
      <c r="N255" s="2">
        <v>1010.77</v>
      </c>
      <c r="O255" s="2" t="str">
        <f>IF(EHR_Export[[#This Row],[Arrival Time]]&lt;=TIME(7,0,0), "Night", IF(EHR_Export[[#This Row],[Arrival Time]]&lt;TIME(15,0,0), "Day", "Evening"))</f>
        <v>Day</v>
      </c>
      <c r="P255" cm="1">
        <f t="array" ref="P2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56" spans="1:16" x14ac:dyDescent="0.25">
      <c r="A256" t="s">
        <v>1579</v>
      </c>
      <c r="B256" s="1">
        <v>46051</v>
      </c>
      <c r="C256" s="4">
        <v>0.75138888888888888</v>
      </c>
      <c r="D256" t="s">
        <v>21</v>
      </c>
      <c r="E256" t="s">
        <v>53</v>
      </c>
      <c r="F256" t="s">
        <v>758</v>
      </c>
      <c r="G256">
        <v>999</v>
      </c>
      <c r="H256" t="s">
        <v>849</v>
      </c>
      <c r="I256" t="s">
        <v>25</v>
      </c>
      <c r="J256">
        <v>68</v>
      </c>
      <c r="K256">
        <v>34</v>
      </c>
      <c r="L256">
        <v>3.5</v>
      </c>
      <c r="M256" t="s">
        <v>14</v>
      </c>
      <c r="N256" s="2">
        <v>713.1</v>
      </c>
      <c r="O256" s="2" t="str">
        <f>IF(EHR_Export[[#This Row],[Arrival Time]]&lt;=TIME(7,0,0), "Night", IF(EHR_Export[[#This Row],[Arrival Time]]&lt;TIME(15,0,0), "Day", "Evening"))</f>
        <v>Evening</v>
      </c>
      <c r="P256" cm="1">
        <f t="array" ref="P2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57" spans="1:16" x14ac:dyDescent="0.25">
      <c r="A257" t="s">
        <v>854</v>
      </c>
      <c r="B257" s="1">
        <v>46052</v>
      </c>
      <c r="C257" s="4">
        <v>0.49236111111111114</v>
      </c>
      <c r="D257" t="s">
        <v>21</v>
      </c>
      <c r="E257" t="s">
        <v>53</v>
      </c>
      <c r="F257" t="s">
        <v>22</v>
      </c>
      <c r="G257">
        <v>41</v>
      </c>
      <c r="H257" t="s">
        <v>847</v>
      </c>
      <c r="I257" t="s">
        <v>34</v>
      </c>
      <c r="J257">
        <v>31</v>
      </c>
      <c r="K257">
        <v>46</v>
      </c>
      <c r="L257">
        <v>3.1</v>
      </c>
      <c r="M257" t="s">
        <v>14</v>
      </c>
      <c r="N257" s="2">
        <v>604.28</v>
      </c>
      <c r="O257" s="2" t="str">
        <f>IF(EHR_Export[[#This Row],[Arrival Time]]&lt;=TIME(7,0,0), "Night", IF(EHR_Export[[#This Row],[Arrival Time]]&lt;TIME(15,0,0), "Day", "Evening"))</f>
        <v>Day</v>
      </c>
      <c r="P257" cm="1">
        <f t="array" ref="P2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58" spans="1:16" x14ac:dyDescent="0.25">
      <c r="A258" t="s">
        <v>930</v>
      </c>
      <c r="B258" s="1">
        <v>46052</v>
      </c>
      <c r="C258" s="4">
        <v>0.25</v>
      </c>
      <c r="D258" t="s">
        <v>21</v>
      </c>
      <c r="E258" t="s">
        <v>53</v>
      </c>
      <c r="F258" t="s">
        <v>108</v>
      </c>
      <c r="G258">
        <v>21</v>
      </c>
      <c r="H258" t="s">
        <v>849</v>
      </c>
      <c r="I258" t="s">
        <v>38</v>
      </c>
      <c r="J258">
        <v>44</v>
      </c>
      <c r="K258">
        <v>75</v>
      </c>
      <c r="L258">
        <v>4.8</v>
      </c>
      <c r="M258" t="s">
        <v>14</v>
      </c>
      <c r="N258" s="2">
        <v>898.91</v>
      </c>
      <c r="O258" s="2" t="str">
        <f>IF(EHR_Export[[#This Row],[Arrival Time]]&lt;=TIME(7,0,0), "Night", IF(EHR_Export[[#This Row],[Arrival Time]]&lt;TIME(15,0,0), "Day", "Evening"))</f>
        <v>Night</v>
      </c>
      <c r="P258" cm="1">
        <f t="array" ref="P2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259" spans="1:16" x14ac:dyDescent="0.25">
      <c r="A259" t="s">
        <v>987</v>
      </c>
      <c r="B259" s="1">
        <v>46052</v>
      </c>
      <c r="C259" s="4">
        <v>0.45833333333333331</v>
      </c>
      <c r="D259" t="s">
        <v>28</v>
      </c>
      <c r="E259" t="s">
        <v>23</v>
      </c>
      <c r="F259" t="s">
        <v>166</v>
      </c>
      <c r="G259">
        <v>40</v>
      </c>
      <c r="H259" t="s">
        <v>849</v>
      </c>
      <c r="I259" t="s">
        <v>34</v>
      </c>
      <c r="J259">
        <v>67</v>
      </c>
      <c r="K259">
        <v>58</v>
      </c>
      <c r="L259">
        <v>3</v>
      </c>
      <c r="M259" t="s">
        <v>18</v>
      </c>
      <c r="N259" s="2">
        <v>693.83</v>
      </c>
      <c r="O259" s="2" t="str">
        <f>IF(EHR_Export[[#This Row],[Arrival Time]]&lt;=TIME(7,0,0), "Night", IF(EHR_Export[[#This Row],[Arrival Time]]&lt;TIME(15,0,0), "Day", "Evening"))</f>
        <v>Day</v>
      </c>
      <c r="P259" cm="1">
        <f t="array" ref="P2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60" spans="1:16" x14ac:dyDescent="0.25">
      <c r="A260" t="s">
        <v>995</v>
      </c>
      <c r="B260" s="1">
        <v>46052</v>
      </c>
      <c r="C260" s="4">
        <v>0.69027777777777777</v>
      </c>
      <c r="D260" t="s">
        <v>126</v>
      </c>
      <c r="E260" t="s">
        <v>46</v>
      </c>
      <c r="F260" t="s">
        <v>174</v>
      </c>
      <c r="G260">
        <v>73</v>
      </c>
      <c r="H260" t="s">
        <v>847</v>
      </c>
      <c r="I260" t="s">
        <v>38</v>
      </c>
      <c r="J260">
        <v>21</v>
      </c>
      <c r="K260">
        <v>64</v>
      </c>
      <c r="L260">
        <v>3.4</v>
      </c>
      <c r="M260" t="s">
        <v>14</v>
      </c>
      <c r="N260" s="2">
        <v>705.58</v>
      </c>
      <c r="O260" s="2" t="str">
        <f>IF(EHR_Export[[#This Row],[Arrival Time]]&lt;=TIME(7,0,0), "Night", IF(EHR_Export[[#This Row],[Arrival Time]]&lt;TIME(15,0,0), "Day", "Evening"))</f>
        <v>Evening</v>
      </c>
      <c r="P260" cm="1">
        <f t="array" ref="P2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61" spans="1:16" x14ac:dyDescent="0.25">
      <c r="A261" t="s">
        <v>1001</v>
      </c>
      <c r="B261" s="1">
        <v>46052</v>
      </c>
      <c r="C261" s="4">
        <v>0.57152777777777775</v>
      </c>
      <c r="D261" t="s">
        <v>58</v>
      </c>
      <c r="E261" t="s">
        <v>842</v>
      </c>
      <c r="F261" t="s">
        <v>180</v>
      </c>
      <c r="G261">
        <v>39</v>
      </c>
      <c r="H261" t="s">
        <v>849</v>
      </c>
      <c r="I261" t="s">
        <v>38</v>
      </c>
      <c r="J261">
        <v>39</v>
      </c>
      <c r="K261">
        <v>89</v>
      </c>
      <c r="L261">
        <v>2.7</v>
      </c>
      <c r="M261" t="s">
        <v>14</v>
      </c>
      <c r="N261" s="2">
        <v>4407.82</v>
      </c>
      <c r="O261" s="2" t="str">
        <f>IF(EHR_Export[[#This Row],[Arrival Time]]&lt;=TIME(7,0,0), "Night", IF(EHR_Export[[#This Row],[Arrival Time]]&lt;TIME(15,0,0), "Day", "Evening"))</f>
        <v>Day</v>
      </c>
      <c r="P261" cm="1">
        <f t="array" ref="P2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262" spans="1:16" x14ac:dyDescent="0.25">
      <c r="A262" t="s">
        <v>995</v>
      </c>
      <c r="B262" s="1">
        <v>46052</v>
      </c>
      <c r="C262" s="4">
        <v>0.69027777777777777</v>
      </c>
      <c r="D262" t="s">
        <v>126</v>
      </c>
      <c r="E262" t="s">
        <v>46</v>
      </c>
      <c r="F262" t="s">
        <v>174</v>
      </c>
      <c r="G262">
        <v>73</v>
      </c>
      <c r="H262" t="s">
        <v>847</v>
      </c>
      <c r="I262" t="s">
        <v>38</v>
      </c>
      <c r="J262">
        <v>21</v>
      </c>
      <c r="K262">
        <v>64</v>
      </c>
      <c r="L262">
        <v>3.4</v>
      </c>
      <c r="M262" t="s">
        <v>14</v>
      </c>
      <c r="N262" s="2">
        <v>705.58</v>
      </c>
      <c r="O262" s="2" t="str">
        <f>IF(EHR_Export[[#This Row],[Arrival Time]]&lt;=TIME(7,0,0), "Night", IF(EHR_Export[[#This Row],[Arrival Time]]&lt;TIME(15,0,0), "Day", "Evening"))</f>
        <v>Evening</v>
      </c>
      <c r="P262" cm="1">
        <f t="array" ref="P2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63" spans="1:16" x14ac:dyDescent="0.25">
      <c r="A263" t="s">
        <v>1198</v>
      </c>
      <c r="B263" s="1">
        <v>46052</v>
      </c>
      <c r="C263" s="4">
        <v>0.53055555555555556</v>
      </c>
      <c r="D263" t="s">
        <v>126</v>
      </c>
      <c r="E263" t="s">
        <v>46</v>
      </c>
      <c r="F263" t="s">
        <v>377</v>
      </c>
      <c r="G263">
        <v>66</v>
      </c>
      <c r="H263" t="s">
        <v>847</v>
      </c>
      <c r="I263" t="s">
        <v>34</v>
      </c>
      <c r="J263">
        <v>27</v>
      </c>
      <c r="K263">
        <v>38</v>
      </c>
      <c r="L263">
        <v>3.6</v>
      </c>
      <c r="M263" t="s">
        <v>14</v>
      </c>
      <c r="N263" s="2">
        <v>1855.54</v>
      </c>
      <c r="O263" s="2" t="str">
        <f>IF(EHR_Export[[#This Row],[Arrival Time]]&lt;=TIME(7,0,0), "Night", IF(EHR_Export[[#This Row],[Arrival Time]]&lt;TIME(15,0,0), "Day", "Evening"))</f>
        <v>Day</v>
      </c>
      <c r="P263" cm="1">
        <f t="array" ref="P2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64" spans="1:16" x14ac:dyDescent="0.25">
      <c r="A264" t="s">
        <v>1344</v>
      </c>
      <c r="B264" s="1">
        <v>46052</v>
      </c>
      <c r="C264" s="4">
        <v>0.24027777777777778</v>
      </c>
      <c r="D264" t="s">
        <v>48</v>
      </c>
      <c r="E264" t="s">
        <v>42</v>
      </c>
      <c r="F264" t="s">
        <v>523</v>
      </c>
      <c r="G264">
        <v>75</v>
      </c>
      <c r="H264" t="s">
        <v>847</v>
      </c>
      <c r="I264" t="s">
        <v>34</v>
      </c>
      <c r="J264">
        <v>37</v>
      </c>
      <c r="K264">
        <v>69</v>
      </c>
      <c r="L264">
        <v>4.7</v>
      </c>
      <c r="M264" t="s">
        <v>18</v>
      </c>
      <c r="N264" s="2">
        <v>1270.48</v>
      </c>
      <c r="O264" s="2" t="str">
        <f>IF(EHR_Export[[#This Row],[Arrival Time]]&lt;=TIME(7,0,0), "Night", IF(EHR_Export[[#This Row],[Arrival Time]]&lt;TIME(15,0,0), "Day", "Evening"))</f>
        <v>Night</v>
      </c>
      <c r="P264" cm="1">
        <f t="array" ref="P2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65" spans="1:16" x14ac:dyDescent="0.25">
      <c r="A265" t="s">
        <v>1467</v>
      </c>
      <c r="B265" s="1">
        <v>46052</v>
      </c>
      <c r="C265" s="4">
        <v>0.2673611111111111</v>
      </c>
      <c r="D265" t="s">
        <v>28</v>
      </c>
      <c r="E265" t="s">
        <v>23</v>
      </c>
      <c r="F265" t="s">
        <v>646</v>
      </c>
      <c r="G265">
        <v>50</v>
      </c>
      <c r="H265" t="s">
        <v>847</v>
      </c>
      <c r="I265" t="s">
        <v>38</v>
      </c>
      <c r="J265">
        <v>42</v>
      </c>
      <c r="K265">
        <v>15</v>
      </c>
      <c r="L265">
        <v>3.9</v>
      </c>
      <c r="M265" t="s">
        <v>14</v>
      </c>
      <c r="N265" s="2">
        <v>887.23</v>
      </c>
      <c r="O265" s="2" t="str">
        <f>IF(EHR_Export[[#This Row],[Arrival Time]]&lt;=TIME(7,0,0), "Night", IF(EHR_Export[[#This Row],[Arrival Time]]&lt;TIME(15,0,0), "Day", "Evening"))</f>
        <v>Night</v>
      </c>
      <c r="P265" cm="1">
        <f t="array" ref="P2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66" spans="1:16" x14ac:dyDescent="0.25">
      <c r="A266" t="s">
        <v>1644</v>
      </c>
      <c r="B266" s="1">
        <v>46052</v>
      </c>
      <c r="C266" s="4">
        <v>0.50694444444444442</v>
      </c>
      <c r="D266" t="s">
        <v>28</v>
      </c>
      <c r="E266" t="s">
        <v>23</v>
      </c>
      <c r="F266" t="s">
        <v>823</v>
      </c>
      <c r="G266">
        <v>32</v>
      </c>
      <c r="H266" t="s">
        <v>847</v>
      </c>
      <c r="I266" t="s">
        <v>34</v>
      </c>
      <c r="J266">
        <v>65</v>
      </c>
      <c r="K266">
        <v>30</v>
      </c>
      <c r="L266">
        <v>2.5</v>
      </c>
      <c r="M266" t="s">
        <v>14</v>
      </c>
      <c r="N266" s="2">
        <v>899.54</v>
      </c>
      <c r="O266" s="2" t="str">
        <f>IF(EHR_Export[[#This Row],[Arrival Time]]&lt;=TIME(7,0,0), "Night", IF(EHR_Export[[#This Row],[Arrival Time]]&lt;TIME(15,0,0), "Day", "Evening"))</f>
        <v>Day</v>
      </c>
      <c r="P266" cm="1">
        <f t="array" ref="P2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67" spans="1:16" x14ac:dyDescent="0.25">
      <c r="A267" t="s">
        <v>921</v>
      </c>
      <c r="B267" s="1">
        <v>46053</v>
      </c>
      <c r="C267" s="4">
        <v>6.25E-2</v>
      </c>
      <c r="D267" t="s">
        <v>48</v>
      </c>
      <c r="E267" t="s">
        <v>42</v>
      </c>
      <c r="F267" t="s">
        <v>99</v>
      </c>
      <c r="G267">
        <v>56</v>
      </c>
      <c r="H267" t="s">
        <v>849</v>
      </c>
      <c r="I267" t="s">
        <v>25</v>
      </c>
      <c r="J267">
        <v>41</v>
      </c>
      <c r="K267">
        <v>67</v>
      </c>
      <c r="L267">
        <v>3.6</v>
      </c>
      <c r="M267" t="s">
        <v>14</v>
      </c>
      <c r="N267" s="2">
        <v>940.25</v>
      </c>
      <c r="O267" s="2" t="str">
        <f>IF(EHR_Export[[#This Row],[Arrival Time]]&lt;=TIME(7,0,0), "Night", IF(EHR_Export[[#This Row],[Arrival Time]]&lt;TIME(15,0,0), "Day", "Evening"))</f>
        <v>Night</v>
      </c>
      <c r="P267" cm="1">
        <f t="array" ref="P2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268" spans="1:16" x14ac:dyDescent="0.25">
      <c r="A268" t="s">
        <v>950</v>
      </c>
      <c r="B268" s="1">
        <v>46053</v>
      </c>
      <c r="C268" s="4">
        <v>0.35138888888888886</v>
      </c>
      <c r="D268" t="s">
        <v>126</v>
      </c>
      <c r="E268" t="s">
        <v>46</v>
      </c>
      <c r="F268" t="s">
        <v>129</v>
      </c>
      <c r="G268">
        <v>45</v>
      </c>
      <c r="H268" t="s">
        <v>849</v>
      </c>
      <c r="I268" t="s">
        <v>38</v>
      </c>
      <c r="J268">
        <v>51</v>
      </c>
      <c r="K268">
        <v>39</v>
      </c>
      <c r="L268">
        <v>3.1</v>
      </c>
      <c r="M268" t="s">
        <v>14</v>
      </c>
      <c r="N268" s="2">
        <v>2478.7399999999998</v>
      </c>
      <c r="O268" s="2" t="str">
        <f>IF(EHR_Export[[#This Row],[Arrival Time]]&lt;=TIME(7,0,0), "Night", IF(EHR_Export[[#This Row],[Arrival Time]]&lt;TIME(15,0,0), "Day", "Evening"))</f>
        <v>Day</v>
      </c>
      <c r="P268" cm="1">
        <f t="array" ref="P2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69" spans="1:16" x14ac:dyDescent="0.25">
      <c r="A269" t="s">
        <v>968</v>
      </c>
      <c r="B269" s="1">
        <v>46053</v>
      </c>
      <c r="C269" s="4">
        <v>0.51458333333333328</v>
      </c>
      <c r="D269" t="s">
        <v>126</v>
      </c>
      <c r="E269" t="s">
        <v>46</v>
      </c>
      <c r="F269" t="s">
        <v>147</v>
      </c>
      <c r="G269">
        <v>69</v>
      </c>
      <c r="H269" t="s">
        <v>847</v>
      </c>
      <c r="I269" t="s">
        <v>38</v>
      </c>
      <c r="J269">
        <v>43</v>
      </c>
      <c r="K269">
        <v>59</v>
      </c>
      <c r="L269">
        <v>3.7</v>
      </c>
      <c r="M269" t="s">
        <v>14</v>
      </c>
      <c r="N269" s="2">
        <v>2415.4699999999998</v>
      </c>
      <c r="O269" s="2" t="str">
        <f>IF(EHR_Export[[#This Row],[Arrival Time]]&lt;=TIME(7,0,0), "Night", IF(EHR_Export[[#This Row],[Arrival Time]]&lt;TIME(15,0,0), "Day", "Evening"))</f>
        <v>Day</v>
      </c>
      <c r="P269" cm="1">
        <f t="array" ref="P2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70" spans="1:16" x14ac:dyDescent="0.25">
      <c r="A270" t="s">
        <v>1031</v>
      </c>
      <c r="B270" s="1">
        <v>46053</v>
      </c>
      <c r="C270" s="4">
        <v>0.45763888888888887</v>
      </c>
      <c r="D270" t="s">
        <v>28</v>
      </c>
      <c r="E270" t="s">
        <v>23</v>
      </c>
      <c r="F270" t="s">
        <v>210</v>
      </c>
      <c r="G270">
        <v>66</v>
      </c>
      <c r="H270" t="s">
        <v>847</v>
      </c>
      <c r="I270" t="s">
        <v>13</v>
      </c>
      <c r="J270">
        <v>82</v>
      </c>
      <c r="K270">
        <v>64</v>
      </c>
      <c r="L270">
        <v>3.9</v>
      </c>
      <c r="M270" t="s">
        <v>14</v>
      </c>
      <c r="N270" s="2">
        <v>778.3</v>
      </c>
      <c r="O270" s="2" t="str">
        <f>IF(EHR_Export[[#This Row],[Arrival Time]]&lt;=TIME(7,0,0), "Night", IF(EHR_Export[[#This Row],[Arrival Time]]&lt;TIME(15,0,0), "Day", "Evening"))</f>
        <v>Day</v>
      </c>
      <c r="P270" cm="1">
        <f t="array" ref="P2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71" spans="1:16" x14ac:dyDescent="0.25">
      <c r="A271" t="s">
        <v>1114</v>
      </c>
      <c r="B271" s="1">
        <v>46053</v>
      </c>
      <c r="C271" s="4">
        <v>7.013888888888889E-2</v>
      </c>
      <c r="D271" t="s">
        <v>21</v>
      </c>
      <c r="E271" t="s">
        <v>53</v>
      </c>
      <c r="F271" t="s">
        <v>293</v>
      </c>
      <c r="G271">
        <v>83</v>
      </c>
      <c r="H271" t="s">
        <v>849</v>
      </c>
      <c r="I271" t="s">
        <v>38</v>
      </c>
      <c r="J271">
        <v>36</v>
      </c>
      <c r="K271">
        <v>35</v>
      </c>
      <c r="L271">
        <v>3.1</v>
      </c>
      <c r="M271" t="s">
        <v>14</v>
      </c>
      <c r="N271" s="2">
        <v>458.11</v>
      </c>
      <c r="O271" s="2" t="str">
        <f>IF(EHR_Export[[#This Row],[Arrival Time]]&lt;=TIME(7,0,0), "Night", IF(EHR_Export[[#This Row],[Arrival Time]]&lt;TIME(15,0,0), "Day", "Evening"))</f>
        <v>Night</v>
      </c>
      <c r="P271" cm="1">
        <f t="array" ref="P2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272" spans="1:16" x14ac:dyDescent="0.25">
      <c r="A272" t="s">
        <v>1125</v>
      </c>
      <c r="B272" s="1">
        <v>46053</v>
      </c>
      <c r="C272" s="4">
        <v>0.23055555555555557</v>
      </c>
      <c r="D272" t="s">
        <v>28</v>
      </c>
      <c r="E272" t="s">
        <v>23</v>
      </c>
      <c r="F272" t="s">
        <v>304</v>
      </c>
      <c r="G272">
        <v>49</v>
      </c>
      <c r="H272" t="s">
        <v>847</v>
      </c>
      <c r="I272" t="s">
        <v>38</v>
      </c>
      <c r="J272">
        <v>60</v>
      </c>
      <c r="K272">
        <v>66</v>
      </c>
      <c r="L272">
        <v>4.8</v>
      </c>
      <c r="M272" t="s">
        <v>18</v>
      </c>
      <c r="N272" s="2">
        <v>849.69</v>
      </c>
      <c r="O272" s="2" t="str">
        <f>IF(EHR_Export[[#This Row],[Arrival Time]]&lt;=TIME(7,0,0), "Night", IF(EHR_Export[[#This Row],[Arrival Time]]&lt;TIME(15,0,0), "Day", "Evening"))</f>
        <v>Night</v>
      </c>
      <c r="P272" cm="1">
        <f t="array" ref="P2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273" spans="1:16" x14ac:dyDescent="0.25">
      <c r="A273" t="s">
        <v>1221</v>
      </c>
      <c r="B273" s="1">
        <v>46053</v>
      </c>
      <c r="C273" s="4">
        <v>0.44791666666666669</v>
      </c>
      <c r="D273" t="s">
        <v>21</v>
      </c>
      <c r="E273" t="s">
        <v>53</v>
      </c>
      <c r="F273" t="s">
        <v>400</v>
      </c>
      <c r="G273">
        <v>44</v>
      </c>
      <c r="H273" t="s">
        <v>849</v>
      </c>
      <c r="I273" t="s">
        <v>25</v>
      </c>
      <c r="J273">
        <v>56</v>
      </c>
      <c r="K273">
        <v>10</v>
      </c>
      <c r="L273">
        <v>3.9</v>
      </c>
      <c r="M273" t="s">
        <v>14</v>
      </c>
      <c r="N273" s="2">
        <v>964.57</v>
      </c>
      <c r="O273" s="2" t="str">
        <f>IF(EHR_Export[[#This Row],[Arrival Time]]&lt;=TIME(7,0,0), "Night", IF(EHR_Export[[#This Row],[Arrival Time]]&lt;TIME(15,0,0), "Day", "Evening"))</f>
        <v>Day</v>
      </c>
      <c r="P273" cm="1">
        <f t="array" ref="P2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74" spans="1:16" x14ac:dyDescent="0.25">
      <c r="A274" t="s">
        <v>1394</v>
      </c>
      <c r="B274" s="1">
        <v>46053</v>
      </c>
      <c r="C274" s="4">
        <v>0.31180555555555556</v>
      </c>
      <c r="D274" t="s">
        <v>28</v>
      </c>
      <c r="E274" t="s">
        <v>23</v>
      </c>
      <c r="F274" t="s">
        <v>573</v>
      </c>
      <c r="G274">
        <v>53</v>
      </c>
      <c r="H274" t="s">
        <v>849</v>
      </c>
      <c r="I274" t="s">
        <v>13</v>
      </c>
      <c r="J274">
        <v>46</v>
      </c>
      <c r="K274">
        <v>56</v>
      </c>
      <c r="L274">
        <v>4.0999999999999996</v>
      </c>
      <c r="M274" t="s">
        <v>14</v>
      </c>
      <c r="N274" s="2">
        <v>750.78</v>
      </c>
      <c r="O274" s="2" t="str">
        <f>IF(EHR_Export[[#This Row],[Arrival Time]]&lt;=TIME(7,0,0), "Night", IF(EHR_Export[[#This Row],[Arrival Time]]&lt;TIME(15,0,0), "Day", "Evening"))</f>
        <v>Day</v>
      </c>
      <c r="P274" cm="1">
        <f t="array" ref="P2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75" spans="1:16" x14ac:dyDescent="0.25">
      <c r="A275" t="s">
        <v>1402</v>
      </c>
      <c r="B275" s="1">
        <v>46053</v>
      </c>
      <c r="C275" s="4">
        <v>0.79097222222222219</v>
      </c>
      <c r="D275" t="s">
        <v>28</v>
      </c>
      <c r="E275" t="s">
        <v>23</v>
      </c>
      <c r="F275" t="s">
        <v>581</v>
      </c>
      <c r="G275">
        <v>74</v>
      </c>
      <c r="H275" t="s">
        <v>849</v>
      </c>
      <c r="I275" t="s">
        <v>34</v>
      </c>
      <c r="J275">
        <v>82</v>
      </c>
      <c r="K275">
        <v>53</v>
      </c>
      <c r="L275">
        <v>2.6</v>
      </c>
      <c r="M275" t="s">
        <v>14</v>
      </c>
      <c r="N275" s="2">
        <v>984.79</v>
      </c>
      <c r="O275" s="2" t="str">
        <f>IF(EHR_Export[[#This Row],[Arrival Time]]&lt;=TIME(7,0,0), "Night", IF(EHR_Export[[#This Row],[Arrival Time]]&lt;TIME(15,0,0), "Day", "Evening"))</f>
        <v>Evening</v>
      </c>
      <c r="P275" cm="1">
        <f t="array" ref="P2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276" spans="1:16" x14ac:dyDescent="0.25">
      <c r="A276" t="s">
        <v>1447</v>
      </c>
      <c r="B276" s="1">
        <v>46053</v>
      </c>
      <c r="C276" s="4">
        <v>0.70902777777777781</v>
      </c>
      <c r="D276" t="s">
        <v>28</v>
      </c>
      <c r="E276" t="s">
        <v>23</v>
      </c>
      <c r="F276" t="s">
        <v>626</v>
      </c>
      <c r="G276">
        <v>42</v>
      </c>
      <c r="H276" t="s">
        <v>849</v>
      </c>
      <c r="I276" t="s">
        <v>25</v>
      </c>
      <c r="J276">
        <v>49</v>
      </c>
      <c r="K276">
        <v>52</v>
      </c>
      <c r="M276" t="s">
        <v>14</v>
      </c>
      <c r="N276" s="2">
        <v>938</v>
      </c>
      <c r="O276" s="2" t="str">
        <f>IF(EHR_Export[[#This Row],[Arrival Time]]&lt;=TIME(7,0,0), "Night", IF(EHR_Export[[#This Row],[Arrival Time]]&lt;TIME(15,0,0), "Day", "Evening"))</f>
        <v>Evening</v>
      </c>
      <c r="P276" cm="1">
        <f t="array" ref="P2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277" spans="1:16" x14ac:dyDescent="0.25">
      <c r="A277" t="s">
        <v>886</v>
      </c>
      <c r="B277" s="1">
        <v>46054</v>
      </c>
      <c r="C277" s="4">
        <v>0.74236111111111114</v>
      </c>
      <c r="D277" t="s">
        <v>28</v>
      </c>
      <c r="E277" t="s">
        <v>23</v>
      </c>
      <c r="F277" t="s">
        <v>64</v>
      </c>
      <c r="G277">
        <v>37</v>
      </c>
      <c r="H277" t="s">
        <v>849</v>
      </c>
      <c r="I277" t="s">
        <v>34</v>
      </c>
      <c r="J277">
        <v>71</v>
      </c>
      <c r="K277">
        <v>64</v>
      </c>
      <c r="L277">
        <v>3.3</v>
      </c>
      <c r="M277" t="s">
        <v>14</v>
      </c>
      <c r="N277" s="2">
        <v>868.76</v>
      </c>
      <c r="O277" s="2" t="str">
        <f>IF(EHR_Export[[#This Row],[Arrival Time]]&lt;=TIME(7,0,0), "Night", IF(EHR_Export[[#This Row],[Arrival Time]]&lt;TIME(15,0,0), "Day", "Evening"))</f>
        <v>Evening</v>
      </c>
      <c r="P277" cm="1">
        <f t="array" ref="P2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278" spans="1:16" x14ac:dyDescent="0.25">
      <c r="A278" t="s">
        <v>925</v>
      </c>
      <c r="B278" s="1">
        <v>46054</v>
      </c>
      <c r="C278" s="4">
        <v>0.73402777777777772</v>
      </c>
      <c r="D278" t="s">
        <v>126</v>
      </c>
      <c r="E278" t="s">
        <v>46</v>
      </c>
      <c r="F278" t="s">
        <v>103</v>
      </c>
      <c r="G278">
        <v>60</v>
      </c>
      <c r="H278" t="s">
        <v>849</v>
      </c>
      <c r="I278" t="s">
        <v>25</v>
      </c>
      <c r="J278">
        <v>42</v>
      </c>
      <c r="K278">
        <v>40</v>
      </c>
      <c r="L278">
        <v>3.4</v>
      </c>
      <c r="M278" t="s">
        <v>14</v>
      </c>
      <c r="N278" s="2">
        <v>1409.1</v>
      </c>
      <c r="O278" s="2" t="str">
        <f>IF(EHR_Export[[#This Row],[Arrival Time]]&lt;=TIME(7,0,0), "Night", IF(EHR_Export[[#This Row],[Arrival Time]]&lt;TIME(15,0,0), "Day", "Evening"))</f>
        <v>Evening</v>
      </c>
      <c r="P278" cm="1">
        <f t="array" ref="P2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279" spans="1:16" x14ac:dyDescent="0.25">
      <c r="A279" t="s">
        <v>996</v>
      </c>
      <c r="B279" s="1">
        <v>46054</v>
      </c>
      <c r="C279" s="4">
        <v>0.43263888888888891</v>
      </c>
      <c r="D279" t="s">
        <v>48</v>
      </c>
      <c r="E279" t="s">
        <v>42</v>
      </c>
      <c r="F279" t="s">
        <v>175</v>
      </c>
      <c r="G279">
        <v>32</v>
      </c>
      <c r="H279" t="s">
        <v>847</v>
      </c>
      <c r="I279" t="s">
        <v>25</v>
      </c>
      <c r="J279">
        <v>58</v>
      </c>
      <c r="K279">
        <v>69</v>
      </c>
      <c r="L279">
        <v>3.9</v>
      </c>
      <c r="M279" t="s">
        <v>14</v>
      </c>
      <c r="O279" s="2" t="str">
        <f>IF(EHR_Export[[#This Row],[Arrival Time]]&lt;=TIME(7,0,0), "Night", IF(EHR_Export[[#This Row],[Arrival Time]]&lt;TIME(15,0,0), "Day", "Evening"))</f>
        <v>Day</v>
      </c>
      <c r="P279" cm="1">
        <f t="array" ref="P2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80" spans="1:16" x14ac:dyDescent="0.25">
      <c r="A280" t="s">
        <v>1000</v>
      </c>
      <c r="B280" s="1">
        <v>46054</v>
      </c>
      <c r="C280" s="4">
        <v>0.41944444444444445</v>
      </c>
      <c r="D280" t="s">
        <v>126</v>
      </c>
      <c r="E280" t="s">
        <v>46</v>
      </c>
      <c r="F280" t="s">
        <v>179</v>
      </c>
      <c r="G280">
        <v>58</v>
      </c>
      <c r="H280" t="s">
        <v>847</v>
      </c>
      <c r="I280" t="s">
        <v>25</v>
      </c>
      <c r="J280">
        <v>34</v>
      </c>
      <c r="K280">
        <v>37</v>
      </c>
      <c r="L280">
        <v>4.8</v>
      </c>
      <c r="M280" t="s">
        <v>14</v>
      </c>
      <c r="N280" s="2">
        <v>1509.63</v>
      </c>
      <c r="O280" s="2" t="str">
        <f>IF(EHR_Export[[#This Row],[Arrival Time]]&lt;=TIME(7,0,0), "Night", IF(EHR_Export[[#This Row],[Arrival Time]]&lt;TIME(15,0,0), "Day", "Evening"))</f>
        <v>Day</v>
      </c>
      <c r="P280" cm="1">
        <f t="array" ref="P2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81" spans="1:16" x14ac:dyDescent="0.25">
      <c r="A281" t="s">
        <v>1412</v>
      </c>
      <c r="B281" s="1">
        <v>46054</v>
      </c>
      <c r="C281" s="4">
        <v>0.53125</v>
      </c>
      <c r="D281" t="s">
        <v>48</v>
      </c>
      <c r="E281" t="s">
        <v>42</v>
      </c>
      <c r="F281" t="s">
        <v>591</v>
      </c>
      <c r="G281">
        <v>45</v>
      </c>
      <c r="H281" t="s">
        <v>849</v>
      </c>
      <c r="I281" t="s">
        <v>13</v>
      </c>
      <c r="J281">
        <v>70</v>
      </c>
      <c r="K281">
        <v>10</v>
      </c>
      <c r="L281">
        <v>3.9</v>
      </c>
      <c r="M281" t="s">
        <v>14</v>
      </c>
      <c r="N281" s="2">
        <v>1777.97</v>
      </c>
      <c r="O281" s="2" t="str">
        <f>IF(EHR_Export[[#This Row],[Arrival Time]]&lt;=TIME(7,0,0), "Night", IF(EHR_Export[[#This Row],[Arrival Time]]&lt;TIME(15,0,0), "Day", "Evening"))</f>
        <v>Day</v>
      </c>
      <c r="P281" cm="1">
        <f t="array" ref="P2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82" spans="1:16" x14ac:dyDescent="0.25">
      <c r="A282" t="s">
        <v>1430</v>
      </c>
      <c r="B282" s="1">
        <v>46054</v>
      </c>
      <c r="C282" s="4">
        <v>0.86805555555555558</v>
      </c>
      <c r="D282" t="s">
        <v>48</v>
      </c>
      <c r="E282" t="s">
        <v>42</v>
      </c>
      <c r="F282" t="s">
        <v>609</v>
      </c>
      <c r="G282">
        <v>45</v>
      </c>
      <c r="H282" t="s">
        <v>849</v>
      </c>
      <c r="I282" t="s">
        <v>34</v>
      </c>
      <c r="J282">
        <v>113</v>
      </c>
      <c r="K282">
        <v>70</v>
      </c>
      <c r="L282">
        <v>2.9</v>
      </c>
      <c r="M282" t="s">
        <v>14</v>
      </c>
      <c r="N282" s="2">
        <v>1460.09</v>
      </c>
      <c r="O282" s="2" t="str">
        <f>IF(EHR_Export[[#This Row],[Arrival Time]]&lt;=TIME(7,0,0), "Night", IF(EHR_Export[[#This Row],[Arrival Time]]&lt;TIME(15,0,0), "Day", "Evening"))</f>
        <v>Evening</v>
      </c>
      <c r="P282" cm="1">
        <f t="array" ref="P2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83" spans="1:16" x14ac:dyDescent="0.25">
      <c r="A283" t="s">
        <v>1463</v>
      </c>
      <c r="B283" s="1">
        <v>46054</v>
      </c>
      <c r="C283" s="4">
        <v>0.93541666666666667</v>
      </c>
      <c r="D283" t="s">
        <v>126</v>
      </c>
      <c r="E283" t="s">
        <v>46</v>
      </c>
      <c r="F283" t="s">
        <v>642</v>
      </c>
      <c r="G283">
        <v>10</v>
      </c>
      <c r="H283" t="s">
        <v>847</v>
      </c>
      <c r="I283" t="s">
        <v>34</v>
      </c>
      <c r="J283">
        <v>65</v>
      </c>
      <c r="K283">
        <v>59</v>
      </c>
      <c r="L283">
        <v>4.5999999999999996</v>
      </c>
      <c r="M283" t="s">
        <v>14</v>
      </c>
      <c r="N283" s="2">
        <v>1569.16</v>
      </c>
      <c r="O283" s="2" t="str">
        <f>IF(EHR_Export[[#This Row],[Arrival Time]]&lt;=TIME(7,0,0), "Night", IF(EHR_Export[[#This Row],[Arrival Time]]&lt;TIME(15,0,0), "Day", "Evening"))</f>
        <v>Evening</v>
      </c>
      <c r="P283" cm="1">
        <f t="array" ref="P2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284" spans="1:16" x14ac:dyDescent="0.25">
      <c r="A284" t="s">
        <v>1542</v>
      </c>
      <c r="B284" s="1">
        <v>46054</v>
      </c>
      <c r="C284" s="4">
        <v>0.76736111111111116</v>
      </c>
      <c r="D284" t="s">
        <v>28</v>
      </c>
      <c r="E284" t="s">
        <v>23</v>
      </c>
      <c r="F284" t="s">
        <v>721</v>
      </c>
      <c r="G284">
        <v>39</v>
      </c>
      <c r="H284" t="s">
        <v>849</v>
      </c>
      <c r="I284" t="s">
        <v>25</v>
      </c>
      <c r="J284">
        <v>70</v>
      </c>
      <c r="K284">
        <v>27</v>
      </c>
      <c r="L284">
        <v>2.9</v>
      </c>
      <c r="M284" t="s">
        <v>14</v>
      </c>
      <c r="N284" s="2">
        <v>805.44</v>
      </c>
      <c r="O284" s="2" t="str">
        <f>IF(EHR_Export[[#This Row],[Arrival Time]]&lt;=TIME(7,0,0), "Night", IF(EHR_Export[[#This Row],[Arrival Time]]&lt;TIME(15,0,0), "Day", "Evening"))</f>
        <v>Evening</v>
      </c>
      <c r="P284" cm="1">
        <f t="array" ref="P2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285" spans="1:16" x14ac:dyDescent="0.25">
      <c r="A285" t="s">
        <v>1598</v>
      </c>
      <c r="B285" s="1">
        <v>46054</v>
      </c>
      <c r="C285" s="4">
        <v>0.17222222222222222</v>
      </c>
      <c r="D285" t="s">
        <v>48</v>
      </c>
      <c r="E285" t="s">
        <v>42</v>
      </c>
      <c r="F285" t="s">
        <v>777</v>
      </c>
      <c r="G285">
        <v>55</v>
      </c>
      <c r="H285" t="s">
        <v>847</v>
      </c>
      <c r="I285" t="s">
        <v>38</v>
      </c>
      <c r="J285">
        <v>70</v>
      </c>
      <c r="K285">
        <v>26</v>
      </c>
      <c r="L285">
        <v>2.7</v>
      </c>
      <c r="M285" t="s">
        <v>14</v>
      </c>
      <c r="N285" s="2">
        <v>1167.44</v>
      </c>
      <c r="O285" s="2" t="str">
        <f>IF(EHR_Export[[#This Row],[Arrival Time]]&lt;=TIME(7,0,0), "Night", IF(EHR_Export[[#This Row],[Arrival Time]]&lt;TIME(15,0,0), "Day", "Evening"))</f>
        <v>Night</v>
      </c>
      <c r="P285" cm="1">
        <f t="array" ref="P2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286" spans="1:16" x14ac:dyDescent="0.25">
      <c r="A286" t="s">
        <v>877</v>
      </c>
      <c r="B286" s="1">
        <v>46055</v>
      </c>
      <c r="C286" s="4">
        <v>0.29375000000000001</v>
      </c>
      <c r="D286" t="s">
        <v>21</v>
      </c>
      <c r="E286" t="s">
        <v>53</v>
      </c>
      <c r="F286" t="s">
        <v>54</v>
      </c>
      <c r="G286">
        <v>23</v>
      </c>
      <c r="H286" t="s">
        <v>847</v>
      </c>
      <c r="I286" t="s">
        <v>34</v>
      </c>
      <c r="J286">
        <v>41</v>
      </c>
      <c r="K286">
        <v>66</v>
      </c>
      <c r="L286">
        <v>4.8</v>
      </c>
      <c r="M286" t="s">
        <v>14</v>
      </c>
      <c r="N286" s="2">
        <v>728.5</v>
      </c>
      <c r="O286" s="2" t="str">
        <f>IF(EHR_Export[[#This Row],[Arrival Time]]&lt;=TIME(7,0,0), "Night", IF(EHR_Export[[#This Row],[Arrival Time]]&lt;TIME(15,0,0), "Day", "Evening"))</f>
        <v>Day</v>
      </c>
      <c r="P286" cm="1">
        <f t="array" ref="P2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87" spans="1:16" x14ac:dyDescent="0.25">
      <c r="A287" t="s">
        <v>906</v>
      </c>
      <c r="B287" s="1">
        <v>46055</v>
      </c>
      <c r="C287" s="4">
        <v>0.78611111111111109</v>
      </c>
      <c r="D287" t="s">
        <v>21</v>
      </c>
      <c r="E287" t="s">
        <v>53</v>
      </c>
      <c r="F287" t="s">
        <v>84</v>
      </c>
      <c r="G287">
        <v>57</v>
      </c>
      <c r="H287" t="s">
        <v>849</v>
      </c>
      <c r="I287" t="s">
        <v>25</v>
      </c>
      <c r="J287">
        <v>22</v>
      </c>
      <c r="K287">
        <v>29</v>
      </c>
      <c r="L287">
        <v>3.5</v>
      </c>
      <c r="M287" t="s">
        <v>14</v>
      </c>
      <c r="N287" s="2">
        <v>546.28</v>
      </c>
      <c r="O287" s="2" t="str">
        <f>IF(EHR_Export[[#This Row],[Arrival Time]]&lt;=TIME(7,0,0), "Night", IF(EHR_Export[[#This Row],[Arrival Time]]&lt;TIME(15,0,0), "Day", "Evening"))</f>
        <v>Evening</v>
      </c>
      <c r="P287" cm="1">
        <f t="array" ref="P2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288" spans="1:16" x14ac:dyDescent="0.25">
      <c r="A288" t="s">
        <v>958</v>
      </c>
      <c r="B288" s="1">
        <v>46055</v>
      </c>
      <c r="C288" s="4">
        <v>0.82499999999999996</v>
      </c>
      <c r="D288" t="s">
        <v>21</v>
      </c>
      <c r="E288" t="s">
        <v>53</v>
      </c>
      <c r="F288" t="s">
        <v>137</v>
      </c>
      <c r="G288">
        <v>73</v>
      </c>
      <c r="H288" t="s">
        <v>849</v>
      </c>
      <c r="I288" t="s">
        <v>38</v>
      </c>
      <c r="J288">
        <v>49</v>
      </c>
      <c r="K288">
        <v>73</v>
      </c>
      <c r="L288">
        <v>3.6</v>
      </c>
      <c r="M288" t="s">
        <v>18</v>
      </c>
      <c r="N288" s="2">
        <v>310.95999999999998</v>
      </c>
      <c r="O288" s="2" t="str">
        <f>IF(EHR_Export[[#This Row],[Arrival Time]]&lt;=TIME(7,0,0), "Night", IF(EHR_Export[[#This Row],[Arrival Time]]&lt;TIME(15,0,0), "Day", "Evening"))</f>
        <v>Evening</v>
      </c>
      <c r="P288" cm="1">
        <f t="array" ref="P2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289" spans="1:16" x14ac:dyDescent="0.25">
      <c r="A289" t="s">
        <v>969</v>
      </c>
      <c r="B289" s="1">
        <v>46055</v>
      </c>
      <c r="C289" s="4">
        <v>0.67083333333333328</v>
      </c>
      <c r="D289" t="s">
        <v>58</v>
      </c>
      <c r="E289" t="s">
        <v>842</v>
      </c>
      <c r="F289" t="s">
        <v>148</v>
      </c>
      <c r="G289">
        <v>47</v>
      </c>
      <c r="H289" t="s">
        <v>849</v>
      </c>
      <c r="I289" t="s">
        <v>34</v>
      </c>
      <c r="J289">
        <v>62</v>
      </c>
      <c r="K289">
        <v>99</v>
      </c>
      <c r="L289">
        <v>3.2</v>
      </c>
      <c r="M289" t="s">
        <v>14</v>
      </c>
      <c r="N289" s="2">
        <v>2929.62</v>
      </c>
      <c r="O289" s="2" t="str">
        <f>IF(EHR_Export[[#This Row],[Arrival Time]]&lt;=TIME(7,0,0), "Night", IF(EHR_Export[[#This Row],[Arrival Time]]&lt;TIME(15,0,0), "Day", "Evening"))</f>
        <v>Evening</v>
      </c>
      <c r="P289" cm="1">
        <f t="array" ref="P2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290" spans="1:16" x14ac:dyDescent="0.25">
      <c r="A290" t="s">
        <v>1013</v>
      </c>
      <c r="B290" s="1">
        <v>46055</v>
      </c>
      <c r="C290" s="4">
        <v>0.46111111111111114</v>
      </c>
      <c r="D290" t="s">
        <v>126</v>
      </c>
      <c r="E290" t="s">
        <v>46</v>
      </c>
      <c r="F290" t="s">
        <v>192</v>
      </c>
      <c r="G290">
        <v>55</v>
      </c>
      <c r="H290" t="s">
        <v>849</v>
      </c>
      <c r="I290" t="s">
        <v>38</v>
      </c>
      <c r="J290">
        <v>23</v>
      </c>
      <c r="K290">
        <v>24</v>
      </c>
      <c r="L290">
        <v>4.9000000000000004</v>
      </c>
      <c r="M290" t="s">
        <v>14</v>
      </c>
      <c r="N290" s="2">
        <v>2130.39</v>
      </c>
      <c r="O290" s="2" t="str">
        <f>IF(EHR_Export[[#This Row],[Arrival Time]]&lt;=TIME(7,0,0), "Night", IF(EHR_Export[[#This Row],[Arrival Time]]&lt;TIME(15,0,0), "Day", "Evening"))</f>
        <v>Day</v>
      </c>
      <c r="P290" cm="1">
        <f t="array" ref="P2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91" spans="1:16" x14ac:dyDescent="0.25">
      <c r="A291" t="s">
        <v>1025</v>
      </c>
      <c r="B291" s="1">
        <v>46055</v>
      </c>
      <c r="C291" s="4">
        <v>0.73541666666666672</v>
      </c>
      <c r="D291" t="s">
        <v>28</v>
      </c>
      <c r="E291" t="s">
        <v>23</v>
      </c>
      <c r="F291" t="s">
        <v>204</v>
      </c>
      <c r="G291">
        <v>51</v>
      </c>
      <c r="H291" t="s">
        <v>849</v>
      </c>
      <c r="I291" t="s">
        <v>25</v>
      </c>
      <c r="J291">
        <v>66</v>
      </c>
      <c r="K291">
        <v>56</v>
      </c>
      <c r="L291">
        <v>3.1</v>
      </c>
      <c r="M291" t="s">
        <v>14</v>
      </c>
      <c r="N291" s="2">
        <v>709.14</v>
      </c>
      <c r="O291" s="2" t="str">
        <f>IF(EHR_Export[[#This Row],[Arrival Time]]&lt;=TIME(7,0,0), "Night", IF(EHR_Export[[#This Row],[Arrival Time]]&lt;TIME(15,0,0), "Day", "Evening"))</f>
        <v>Evening</v>
      </c>
      <c r="P291" cm="1">
        <f t="array" ref="P2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292" spans="1:16" x14ac:dyDescent="0.25">
      <c r="A292" t="s">
        <v>1039</v>
      </c>
      <c r="B292" s="1">
        <v>46055</v>
      </c>
      <c r="C292" s="4">
        <v>0.43055555555555558</v>
      </c>
      <c r="D292" t="s">
        <v>21</v>
      </c>
      <c r="E292" t="s">
        <v>53</v>
      </c>
      <c r="F292" t="s">
        <v>218</v>
      </c>
      <c r="G292">
        <v>45</v>
      </c>
      <c r="H292" t="s">
        <v>847</v>
      </c>
      <c r="I292" t="s">
        <v>34</v>
      </c>
      <c r="J292">
        <v>23</v>
      </c>
      <c r="K292">
        <v>66</v>
      </c>
      <c r="L292">
        <v>3.6</v>
      </c>
      <c r="M292" t="s">
        <v>18</v>
      </c>
      <c r="N292" s="2">
        <v>788.08</v>
      </c>
      <c r="O292" s="2" t="str">
        <f>IF(EHR_Export[[#This Row],[Arrival Time]]&lt;=TIME(7,0,0), "Night", IF(EHR_Export[[#This Row],[Arrival Time]]&lt;TIME(15,0,0), "Day", "Evening"))</f>
        <v>Day</v>
      </c>
      <c r="P292" cm="1">
        <f t="array" ref="P2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93" spans="1:16" x14ac:dyDescent="0.25">
      <c r="A293" t="s">
        <v>1093</v>
      </c>
      <c r="B293" s="1">
        <v>46055</v>
      </c>
      <c r="C293" s="4">
        <v>0.68055555555555558</v>
      </c>
      <c r="D293" t="s">
        <v>21</v>
      </c>
      <c r="E293" t="s">
        <v>53</v>
      </c>
      <c r="F293" t="s">
        <v>272</v>
      </c>
      <c r="G293">
        <v>44</v>
      </c>
      <c r="H293" t="s">
        <v>849</v>
      </c>
      <c r="I293" t="s">
        <v>34</v>
      </c>
      <c r="J293">
        <v>58</v>
      </c>
      <c r="K293">
        <v>57</v>
      </c>
      <c r="L293">
        <v>2.7</v>
      </c>
      <c r="M293" t="s">
        <v>18</v>
      </c>
      <c r="N293" s="2">
        <v>827.06</v>
      </c>
      <c r="O293" s="2" t="str">
        <f>IF(EHR_Export[[#This Row],[Arrival Time]]&lt;=TIME(7,0,0), "Night", IF(EHR_Export[[#This Row],[Arrival Time]]&lt;TIME(15,0,0), "Day", "Evening"))</f>
        <v>Evening</v>
      </c>
      <c r="P293" cm="1">
        <f t="array" ref="P2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294" spans="1:16" x14ac:dyDescent="0.25">
      <c r="A294" t="s">
        <v>1272</v>
      </c>
      <c r="B294" s="1">
        <v>46055</v>
      </c>
      <c r="C294" s="4">
        <v>0.5229166666666667</v>
      </c>
      <c r="D294" t="s">
        <v>28</v>
      </c>
      <c r="E294" t="s">
        <v>23</v>
      </c>
      <c r="F294" t="s">
        <v>451</v>
      </c>
      <c r="G294">
        <v>42</v>
      </c>
      <c r="H294" t="s">
        <v>849</v>
      </c>
      <c r="I294" t="s">
        <v>34</v>
      </c>
      <c r="J294">
        <v>37</v>
      </c>
      <c r="K294">
        <v>10</v>
      </c>
      <c r="L294">
        <v>3.7</v>
      </c>
      <c r="M294" t="s">
        <v>14</v>
      </c>
      <c r="N294" s="2">
        <v>796.11</v>
      </c>
      <c r="O294" s="2" t="str">
        <f>IF(EHR_Export[[#This Row],[Arrival Time]]&lt;=TIME(7,0,0), "Night", IF(EHR_Export[[#This Row],[Arrival Time]]&lt;TIME(15,0,0), "Day", "Evening"))</f>
        <v>Day</v>
      </c>
      <c r="P294" cm="1">
        <f t="array" ref="P2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295" spans="1:16" x14ac:dyDescent="0.25">
      <c r="A295" t="s">
        <v>1305</v>
      </c>
      <c r="B295" s="1">
        <v>46055</v>
      </c>
      <c r="C295" s="4">
        <v>0.40833333333333333</v>
      </c>
      <c r="D295" t="s">
        <v>21</v>
      </c>
      <c r="E295" t="s">
        <v>53</v>
      </c>
      <c r="F295" t="s">
        <v>484</v>
      </c>
      <c r="G295">
        <v>58</v>
      </c>
      <c r="H295" t="s">
        <v>849</v>
      </c>
      <c r="I295" t="s">
        <v>25</v>
      </c>
      <c r="J295">
        <v>45</v>
      </c>
      <c r="K295">
        <v>12</v>
      </c>
      <c r="L295">
        <v>4.5999999999999996</v>
      </c>
      <c r="M295" t="s">
        <v>14</v>
      </c>
      <c r="N295" s="2">
        <v>1051.23</v>
      </c>
      <c r="O295" s="2" t="str">
        <f>IF(EHR_Export[[#This Row],[Arrival Time]]&lt;=TIME(7,0,0), "Night", IF(EHR_Export[[#This Row],[Arrival Time]]&lt;TIME(15,0,0), "Day", "Evening"))</f>
        <v>Day</v>
      </c>
      <c r="P295" cm="1">
        <f t="array" ref="P2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296" spans="1:16" x14ac:dyDescent="0.25">
      <c r="A296" t="s">
        <v>1364</v>
      </c>
      <c r="B296" s="1">
        <v>46055</v>
      </c>
      <c r="C296" s="4">
        <v>0.88402777777777775</v>
      </c>
      <c r="D296" t="s">
        <v>21</v>
      </c>
      <c r="E296" t="s">
        <v>53</v>
      </c>
      <c r="F296" t="s">
        <v>543</v>
      </c>
      <c r="G296">
        <v>56</v>
      </c>
      <c r="H296" t="s">
        <v>847</v>
      </c>
      <c r="I296" t="s">
        <v>25</v>
      </c>
      <c r="J296">
        <v>26</v>
      </c>
      <c r="K296">
        <v>10</v>
      </c>
      <c r="L296">
        <v>4.2</v>
      </c>
      <c r="M296" t="s">
        <v>14</v>
      </c>
      <c r="N296" s="2">
        <v>670.49</v>
      </c>
      <c r="O296" s="2" t="str">
        <f>IF(EHR_Export[[#This Row],[Arrival Time]]&lt;=TIME(7,0,0), "Night", IF(EHR_Export[[#This Row],[Arrival Time]]&lt;TIME(15,0,0), "Day", "Evening"))</f>
        <v>Evening</v>
      </c>
      <c r="P296" cm="1">
        <f t="array" ref="P2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297" spans="1:16" x14ac:dyDescent="0.25">
      <c r="A297" t="s">
        <v>1074</v>
      </c>
      <c r="B297" s="1">
        <v>46056</v>
      </c>
      <c r="C297" s="4">
        <v>0.14097222222222222</v>
      </c>
      <c r="D297" t="s">
        <v>21</v>
      </c>
      <c r="E297" t="s">
        <v>53</v>
      </c>
      <c r="F297" t="s">
        <v>253</v>
      </c>
      <c r="G297">
        <v>45</v>
      </c>
      <c r="H297" t="s">
        <v>847</v>
      </c>
      <c r="I297" t="s">
        <v>34</v>
      </c>
      <c r="J297">
        <v>36</v>
      </c>
      <c r="K297">
        <v>33</v>
      </c>
      <c r="L297">
        <v>3.8</v>
      </c>
      <c r="M297" t="s">
        <v>14</v>
      </c>
      <c r="N297" s="2">
        <v>625.36</v>
      </c>
      <c r="O297" s="2" t="str">
        <f>IF(EHR_Export[[#This Row],[Arrival Time]]&lt;=TIME(7,0,0), "Night", IF(EHR_Export[[#This Row],[Arrival Time]]&lt;TIME(15,0,0), "Day", "Evening"))</f>
        <v>Night</v>
      </c>
      <c r="P297" cm="1">
        <f t="array" ref="P2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98" spans="1:16" x14ac:dyDescent="0.25">
      <c r="A298" t="s">
        <v>1121</v>
      </c>
      <c r="B298" s="1">
        <v>46056</v>
      </c>
      <c r="C298" s="4">
        <v>0.75972222222222219</v>
      </c>
      <c r="D298" t="s">
        <v>21</v>
      </c>
      <c r="E298" t="s">
        <v>53</v>
      </c>
      <c r="F298" t="s">
        <v>300</v>
      </c>
      <c r="G298">
        <v>61</v>
      </c>
      <c r="H298" t="s">
        <v>849</v>
      </c>
      <c r="I298" t="s">
        <v>38</v>
      </c>
      <c r="J298">
        <v>57</v>
      </c>
      <c r="K298">
        <v>38</v>
      </c>
      <c r="L298">
        <v>2.8</v>
      </c>
      <c r="M298" t="s">
        <v>14</v>
      </c>
      <c r="N298" s="2">
        <v>887.71</v>
      </c>
      <c r="O298" s="2" t="str">
        <f>IF(EHR_Export[[#This Row],[Arrival Time]]&lt;=TIME(7,0,0), "Night", IF(EHR_Export[[#This Row],[Arrival Time]]&lt;TIME(15,0,0), "Day", "Evening"))</f>
        <v>Evening</v>
      </c>
      <c r="P298" cm="1">
        <f t="array" ref="P2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299" spans="1:16" x14ac:dyDescent="0.25">
      <c r="A299" t="s">
        <v>1144</v>
      </c>
      <c r="B299" s="1">
        <v>46056</v>
      </c>
      <c r="C299" s="4">
        <v>0.98263888888888884</v>
      </c>
      <c r="D299" t="s">
        <v>28</v>
      </c>
      <c r="E299" t="s">
        <v>23</v>
      </c>
      <c r="F299" t="s">
        <v>323</v>
      </c>
      <c r="G299">
        <v>999</v>
      </c>
      <c r="H299" t="s">
        <v>847</v>
      </c>
      <c r="I299" t="s">
        <v>13</v>
      </c>
      <c r="J299">
        <v>46</v>
      </c>
      <c r="K299">
        <v>61</v>
      </c>
      <c r="L299">
        <v>3.2</v>
      </c>
      <c r="M299" t="s">
        <v>18</v>
      </c>
      <c r="N299" s="2">
        <v>538.52</v>
      </c>
      <c r="O299" s="2" t="str">
        <f>IF(EHR_Export[[#This Row],[Arrival Time]]&lt;=TIME(7,0,0), "Night", IF(EHR_Export[[#This Row],[Arrival Time]]&lt;TIME(15,0,0), "Day", "Evening"))</f>
        <v>Evening</v>
      </c>
      <c r="P299" cm="1">
        <f t="array" ref="P2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00" spans="1:16" x14ac:dyDescent="0.25">
      <c r="A300" t="s">
        <v>1153</v>
      </c>
      <c r="B300" s="1">
        <v>46056</v>
      </c>
      <c r="C300" s="4">
        <v>0.89722222222222225</v>
      </c>
      <c r="D300" t="s">
        <v>28</v>
      </c>
      <c r="E300" t="s">
        <v>23</v>
      </c>
      <c r="F300" t="s">
        <v>332</v>
      </c>
      <c r="G300">
        <v>83</v>
      </c>
      <c r="H300" t="s">
        <v>849</v>
      </c>
      <c r="I300" t="s">
        <v>25</v>
      </c>
      <c r="J300">
        <v>55</v>
      </c>
      <c r="K300">
        <v>35</v>
      </c>
      <c r="L300">
        <v>2.7</v>
      </c>
      <c r="M300" t="s">
        <v>14</v>
      </c>
      <c r="N300" s="2">
        <v>568.84</v>
      </c>
      <c r="O300" s="2" t="str">
        <f>IF(EHR_Export[[#This Row],[Arrival Time]]&lt;=TIME(7,0,0), "Night", IF(EHR_Export[[#This Row],[Arrival Time]]&lt;TIME(15,0,0), "Day", "Evening"))</f>
        <v>Evening</v>
      </c>
      <c r="P300" cm="1">
        <f t="array" ref="P3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01" spans="1:16" x14ac:dyDescent="0.25">
      <c r="A301" t="s">
        <v>1227</v>
      </c>
      <c r="B301" s="1">
        <v>46056</v>
      </c>
      <c r="C301" s="4">
        <v>0.82013888888888886</v>
      </c>
      <c r="D301" t="s">
        <v>48</v>
      </c>
      <c r="E301" t="s">
        <v>42</v>
      </c>
      <c r="F301" t="s">
        <v>406</v>
      </c>
      <c r="G301">
        <v>52</v>
      </c>
      <c r="H301" t="s">
        <v>849</v>
      </c>
      <c r="I301" t="s">
        <v>25</v>
      </c>
      <c r="J301">
        <v>88</v>
      </c>
      <c r="K301">
        <v>36</v>
      </c>
      <c r="L301">
        <v>2.9</v>
      </c>
      <c r="N301" s="2">
        <v>1625.64</v>
      </c>
      <c r="O301" s="2" t="str">
        <f>IF(EHR_Export[[#This Row],[Arrival Time]]&lt;=TIME(7,0,0), "Night", IF(EHR_Export[[#This Row],[Arrival Time]]&lt;TIME(15,0,0), "Day", "Evening"))</f>
        <v>Evening</v>
      </c>
      <c r="P301" cm="1">
        <f t="array" ref="P3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302" spans="1:16" x14ac:dyDescent="0.25">
      <c r="A302" t="s">
        <v>1144</v>
      </c>
      <c r="B302" s="1">
        <v>46056</v>
      </c>
      <c r="C302" s="4">
        <v>0.98263888888888884</v>
      </c>
      <c r="D302" t="s">
        <v>28</v>
      </c>
      <c r="E302" t="s">
        <v>23</v>
      </c>
      <c r="F302" t="s">
        <v>323</v>
      </c>
      <c r="G302">
        <v>999</v>
      </c>
      <c r="H302" t="s">
        <v>847</v>
      </c>
      <c r="I302" t="s">
        <v>13</v>
      </c>
      <c r="J302">
        <v>46</v>
      </c>
      <c r="K302">
        <v>61</v>
      </c>
      <c r="L302">
        <v>3.2</v>
      </c>
      <c r="M302" t="s">
        <v>18</v>
      </c>
      <c r="N302" s="2">
        <v>538.52</v>
      </c>
      <c r="O302" s="2" t="str">
        <f>IF(EHR_Export[[#This Row],[Arrival Time]]&lt;=TIME(7,0,0), "Night", IF(EHR_Export[[#This Row],[Arrival Time]]&lt;TIME(15,0,0), "Day", "Evening"))</f>
        <v>Evening</v>
      </c>
      <c r="P302" cm="1">
        <f t="array" ref="P3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03" spans="1:16" x14ac:dyDescent="0.25">
      <c r="A303" t="s">
        <v>1556</v>
      </c>
      <c r="B303" s="1">
        <v>46056</v>
      </c>
      <c r="C303" s="4">
        <v>0.82430555555555551</v>
      </c>
      <c r="D303" t="s">
        <v>48</v>
      </c>
      <c r="E303" t="s">
        <v>42</v>
      </c>
      <c r="F303" t="s">
        <v>735</v>
      </c>
      <c r="G303">
        <v>68</v>
      </c>
      <c r="H303" t="s">
        <v>847</v>
      </c>
      <c r="I303" t="s">
        <v>25</v>
      </c>
      <c r="J303">
        <v>85</v>
      </c>
      <c r="K303">
        <v>56</v>
      </c>
      <c r="L303">
        <v>3.4</v>
      </c>
      <c r="M303" t="s">
        <v>14</v>
      </c>
      <c r="N303" s="2">
        <v>1101.6099999999999</v>
      </c>
      <c r="O303" s="2" t="str">
        <f>IF(EHR_Export[[#This Row],[Arrival Time]]&lt;=TIME(7,0,0), "Night", IF(EHR_Export[[#This Row],[Arrival Time]]&lt;TIME(15,0,0), "Day", "Evening"))</f>
        <v>Evening</v>
      </c>
      <c r="P303" cm="1">
        <f t="array" ref="P3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304" spans="1:16" x14ac:dyDescent="0.25">
      <c r="A304" t="s">
        <v>1558</v>
      </c>
      <c r="B304" s="1">
        <v>46056</v>
      </c>
      <c r="C304" s="4">
        <v>0.90763888888888888</v>
      </c>
      <c r="D304" t="s">
        <v>58</v>
      </c>
      <c r="E304" t="s">
        <v>842</v>
      </c>
      <c r="F304" t="s">
        <v>737</v>
      </c>
      <c r="G304">
        <v>40</v>
      </c>
      <c r="H304" t="s">
        <v>849</v>
      </c>
      <c r="I304" t="s">
        <v>34</v>
      </c>
      <c r="J304">
        <v>99</v>
      </c>
      <c r="K304">
        <v>43</v>
      </c>
      <c r="L304">
        <v>3.5</v>
      </c>
      <c r="M304" t="s">
        <v>14</v>
      </c>
      <c r="N304" s="2">
        <v>2900.76</v>
      </c>
      <c r="O304" s="2" t="str">
        <f>IF(EHR_Export[[#This Row],[Arrival Time]]&lt;=TIME(7,0,0), "Night", IF(EHR_Export[[#This Row],[Arrival Time]]&lt;TIME(15,0,0), "Day", "Evening"))</f>
        <v>Evening</v>
      </c>
      <c r="P304" cm="1">
        <f t="array" ref="P3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05" spans="1:16" x14ac:dyDescent="0.25">
      <c r="A305" t="s">
        <v>893</v>
      </c>
      <c r="B305" s="1">
        <v>46057</v>
      </c>
      <c r="C305" s="4">
        <v>0.71666666666666667</v>
      </c>
      <c r="D305" t="s">
        <v>28</v>
      </c>
      <c r="E305" t="s">
        <v>23</v>
      </c>
      <c r="F305" t="s">
        <v>71</v>
      </c>
      <c r="G305">
        <v>52</v>
      </c>
      <c r="H305" t="s">
        <v>849</v>
      </c>
      <c r="I305" t="s">
        <v>34</v>
      </c>
      <c r="J305">
        <v>72</v>
      </c>
      <c r="K305">
        <v>16</v>
      </c>
      <c r="L305">
        <v>3.7</v>
      </c>
      <c r="M305" t="s">
        <v>14</v>
      </c>
      <c r="N305" s="2">
        <v>867.6</v>
      </c>
      <c r="O305" s="2" t="str">
        <f>IF(EHR_Export[[#This Row],[Arrival Time]]&lt;=TIME(7,0,0), "Night", IF(EHR_Export[[#This Row],[Arrival Time]]&lt;TIME(15,0,0), "Day", "Evening"))</f>
        <v>Evening</v>
      </c>
      <c r="P305" cm="1">
        <f t="array" ref="P3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306" spans="1:16" x14ac:dyDescent="0.25">
      <c r="A306" t="s">
        <v>941</v>
      </c>
      <c r="B306" s="1">
        <v>46057</v>
      </c>
      <c r="C306" s="4">
        <v>0.72569444444444442</v>
      </c>
      <c r="D306" t="s">
        <v>28</v>
      </c>
      <c r="E306" t="s">
        <v>23</v>
      </c>
      <c r="F306" t="s">
        <v>119</v>
      </c>
      <c r="G306">
        <v>28</v>
      </c>
      <c r="H306" t="s">
        <v>847</v>
      </c>
      <c r="I306" t="s">
        <v>25</v>
      </c>
      <c r="J306">
        <v>70</v>
      </c>
      <c r="K306">
        <v>52</v>
      </c>
      <c r="M306" t="s">
        <v>14</v>
      </c>
      <c r="N306" s="2">
        <v>599.27</v>
      </c>
      <c r="O306" s="2" t="str">
        <f>IF(EHR_Export[[#This Row],[Arrival Time]]&lt;=TIME(7,0,0), "Night", IF(EHR_Export[[#This Row],[Arrival Time]]&lt;TIME(15,0,0), "Day", "Evening"))</f>
        <v>Evening</v>
      </c>
      <c r="P306" cm="1">
        <f t="array" ref="P3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307" spans="1:16" x14ac:dyDescent="0.25">
      <c r="A307" t="s">
        <v>974</v>
      </c>
      <c r="B307" s="1">
        <v>46057</v>
      </c>
      <c r="C307" s="4">
        <v>0.69930555555555551</v>
      </c>
      <c r="D307" t="s">
        <v>48</v>
      </c>
      <c r="E307" t="s">
        <v>42</v>
      </c>
      <c r="F307" t="s">
        <v>153</v>
      </c>
      <c r="G307">
        <v>48</v>
      </c>
      <c r="H307" t="s">
        <v>849</v>
      </c>
      <c r="I307" t="s">
        <v>38</v>
      </c>
      <c r="J307">
        <v>78</v>
      </c>
      <c r="K307">
        <v>55</v>
      </c>
      <c r="L307">
        <v>3.8</v>
      </c>
      <c r="M307" t="s">
        <v>14</v>
      </c>
      <c r="N307" s="2">
        <v>967.06</v>
      </c>
      <c r="O307" s="2" t="str">
        <f>IF(EHR_Export[[#This Row],[Arrival Time]]&lt;=TIME(7,0,0), "Night", IF(EHR_Export[[#This Row],[Arrival Time]]&lt;TIME(15,0,0), "Day", "Evening"))</f>
        <v>Evening</v>
      </c>
      <c r="P307" cm="1">
        <f t="array" ref="P3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08" spans="1:16" x14ac:dyDescent="0.25">
      <c r="A308" t="s">
        <v>1002</v>
      </c>
      <c r="B308" s="1">
        <v>46057</v>
      </c>
      <c r="C308" s="4">
        <v>0.47916666666666669</v>
      </c>
      <c r="D308" t="s">
        <v>58</v>
      </c>
      <c r="E308" t="s">
        <v>842</v>
      </c>
      <c r="F308" t="s">
        <v>181</v>
      </c>
      <c r="G308">
        <v>34</v>
      </c>
      <c r="H308" t="s">
        <v>847</v>
      </c>
      <c r="I308" t="s">
        <v>38</v>
      </c>
      <c r="J308">
        <v>45</v>
      </c>
      <c r="K308">
        <v>62</v>
      </c>
      <c r="L308">
        <v>4.5999999999999996</v>
      </c>
      <c r="M308" t="s">
        <v>14</v>
      </c>
      <c r="N308" s="2">
        <v>4231.67</v>
      </c>
      <c r="O308" s="2" t="str">
        <f>IF(EHR_Export[[#This Row],[Arrival Time]]&lt;=TIME(7,0,0), "Night", IF(EHR_Export[[#This Row],[Arrival Time]]&lt;TIME(15,0,0), "Day", "Evening"))</f>
        <v>Day</v>
      </c>
      <c r="P308" cm="1">
        <f t="array" ref="P3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309" spans="1:16" x14ac:dyDescent="0.25">
      <c r="A309" t="s">
        <v>1260</v>
      </c>
      <c r="B309" s="1">
        <v>46057</v>
      </c>
      <c r="C309" s="4">
        <v>0.53125</v>
      </c>
      <c r="D309" t="s">
        <v>28</v>
      </c>
      <c r="E309" t="s">
        <v>23</v>
      </c>
      <c r="F309" t="s">
        <v>439</v>
      </c>
      <c r="G309">
        <v>20</v>
      </c>
      <c r="H309" t="s">
        <v>847</v>
      </c>
      <c r="I309" t="s">
        <v>34</v>
      </c>
      <c r="J309">
        <v>43</v>
      </c>
      <c r="K309">
        <v>41</v>
      </c>
      <c r="L309">
        <v>4.0999999999999996</v>
      </c>
      <c r="M309" t="s">
        <v>14</v>
      </c>
      <c r="N309" s="2">
        <v>482.73</v>
      </c>
      <c r="O309" s="2" t="str">
        <f>IF(EHR_Export[[#This Row],[Arrival Time]]&lt;=TIME(7,0,0), "Night", IF(EHR_Export[[#This Row],[Arrival Time]]&lt;TIME(15,0,0), "Day", "Evening"))</f>
        <v>Day</v>
      </c>
      <c r="P309" cm="1">
        <f t="array" ref="P3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10" spans="1:16" x14ac:dyDescent="0.25">
      <c r="A310" t="s">
        <v>1295</v>
      </c>
      <c r="B310" s="1">
        <v>46057</v>
      </c>
      <c r="C310" s="4">
        <v>0.8256944444444444</v>
      </c>
      <c r="D310" t="s">
        <v>28</v>
      </c>
      <c r="E310" t="s">
        <v>23</v>
      </c>
      <c r="F310" t="s">
        <v>474</v>
      </c>
      <c r="G310">
        <v>54</v>
      </c>
      <c r="H310" t="s">
        <v>849</v>
      </c>
      <c r="I310" t="s">
        <v>13</v>
      </c>
      <c r="J310">
        <v>59</v>
      </c>
      <c r="K310">
        <v>63</v>
      </c>
      <c r="L310">
        <v>2.7</v>
      </c>
      <c r="M310" t="s">
        <v>14</v>
      </c>
      <c r="N310" s="2">
        <v>894.63</v>
      </c>
      <c r="O310" s="2" t="str">
        <f>IF(EHR_Export[[#This Row],[Arrival Time]]&lt;=TIME(7,0,0), "Night", IF(EHR_Export[[#This Row],[Arrival Time]]&lt;TIME(15,0,0), "Day", "Evening"))</f>
        <v>Evening</v>
      </c>
      <c r="P310" cm="1">
        <f t="array" ref="P3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311" spans="1:16" x14ac:dyDescent="0.25">
      <c r="A311" t="s">
        <v>1409</v>
      </c>
      <c r="B311" s="1">
        <v>46057</v>
      </c>
      <c r="C311" s="4">
        <v>0.72013888888888888</v>
      </c>
      <c r="D311" t="s">
        <v>48</v>
      </c>
      <c r="E311" t="s">
        <v>42</v>
      </c>
      <c r="F311" t="s">
        <v>588</v>
      </c>
      <c r="G311">
        <v>16</v>
      </c>
      <c r="H311" t="s">
        <v>849</v>
      </c>
      <c r="I311" t="s">
        <v>38</v>
      </c>
      <c r="J311">
        <v>104</v>
      </c>
      <c r="K311">
        <v>55</v>
      </c>
      <c r="M311" t="s">
        <v>14</v>
      </c>
      <c r="N311" s="2">
        <v>1556.21</v>
      </c>
      <c r="O311" s="2" t="str">
        <f>IF(EHR_Export[[#This Row],[Arrival Time]]&lt;=TIME(7,0,0), "Night", IF(EHR_Export[[#This Row],[Arrival Time]]&lt;TIME(15,0,0), "Day", "Evening"))</f>
        <v>Evening</v>
      </c>
      <c r="P311" cm="1">
        <f t="array" ref="P3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12" spans="1:16" x14ac:dyDescent="0.25">
      <c r="A312" t="s">
        <v>887</v>
      </c>
      <c r="B312" s="1">
        <v>46058</v>
      </c>
      <c r="C312" s="4">
        <v>0.52916666666666667</v>
      </c>
      <c r="D312" t="s">
        <v>21</v>
      </c>
      <c r="E312" t="s">
        <v>53</v>
      </c>
      <c r="F312" t="s">
        <v>65</v>
      </c>
      <c r="G312">
        <v>19</v>
      </c>
      <c r="H312" t="s">
        <v>849</v>
      </c>
      <c r="I312" t="s">
        <v>38</v>
      </c>
      <c r="J312">
        <v>10</v>
      </c>
      <c r="K312">
        <v>43</v>
      </c>
      <c r="L312">
        <v>4.5</v>
      </c>
      <c r="M312" t="s">
        <v>14</v>
      </c>
      <c r="N312" s="2">
        <v>686.45</v>
      </c>
      <c r="O312" s="2" t="str">
        <f>IF(EHR_Export[[#This Row],[Arrival Time]]&lt;=TIME(7,0,0), "Night", IF(EHR_Export[[#This Row],[Arrival Time]]&lt;TIME(15,0,0), "Day", "Evening"))</f>
        <v>Day</v>
      </c>
      <c r="P312" cm="1">
        <f t="array" ref="P3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13" spans="1:16" x14ac:dyDescent="0.25">
      <c r="A313" t="s">
        <v>1378</v>
      </c>
      <c r="B313" s="1">
        <v>46058</v>
      </c>
      <c r="C313" s="4">
        <v>0.71666666666666667</v>
      </c>
      <c r="D313" t="s">
        <v>28</v>
      </c>
      <c r="E313" t="s">
        <v>23</v>
      </c>
      <c r="F313" t="s">
        <v>557</v>
      </c>
      <c r="G313">
        <v>54</v>
      </c>
      <c r="H313" t="s">
        <v>847</v>
      </c>
      <c r="I313" t="s">
        <v>34</v>
      </c>
      <c r="J313">
        <v>68</v>
      </c>
      <c r="K313">
        <v>51</v>
      </c>
      <c r="L313">
        <v>2.9</v>
      </c>
      <c r="M313" t="s">
        <v>14</v>
      </c>
      <c r="N313" s="2">
        <v>802.97</v>
      </c>
      <c r="O313" s="2" t="str">
        <f>IF(EHR_Export[[#This Row],[Arrival Time]]&lt;=TIME(7,0,0), "Night", IF(EHR_Export[[#This Row],[Arrival Time]]&lt;TIME(15,0,0), "Day", "Evening"))</f>
        <v>Evening</v>
      </c>
      <c r="P313" cm="1">
        <f t="array" ref="P3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314" spans="1:16" x14ac:dyDescent="0.25">
      <c r="A314" t="s">
        <v>1415</v>
      </c>
      <c r="B314" s="1">
        <v>46058</v>
      </c>
      <c r="C314" s="4">
        <v>0.51666666666666672</v>
      </c>
      <c r="D314" t="s">
        <v>28</v>
      </c>
      <c r="E314" t="s">
        <v>23</v>
      </c>
      <c r="F314" t="s">
        <v>594</v>
      </c>
      <c r="G314">
        <v>31</v>
      </c>
      <c r="H314" t="s">
        <v>847</v>
      </c>
      <c r="I314" t="s">
        <v>38</v>
      </c>
      <c r="J314">
        <v>60</v>
      </c>
      <c r="K314">
        <v>27</v>
      </c>
      <c r="L314">
        <v>3.3</v>
      </c>
      <c r="M314" t="s">
        <v>14</v>
      </c>
      <c r="N314" s="2">
        <v>1038.51</v>
      </c>
      <c r="O314" s="2" t="str">
        <f>IF(EHR_Export[[#This Row],[Arrival Time]]&lt;=TIME(7,0,0), "Night", IF(EHR_Export[[#This Row],[Arrival Time]]&lt;TIME(15,0,0), "Day", "Evening"))</f>
        <v>Day</v>
      </c>
      <c r="P314" cm="1">
        <f t="array" ref="P3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15" spans="1:16" x14ac:dyDescent="0.25">
      <c r="A315" t="s">
        <v>1459</v>
      </c>
      <c r="B315" s="1">
        <v>46058</v>
      </c>
      <c r="C315" s="4">
        <v>0.76875000000000004</v>
      </c>
      <c r="D315" t="s">
        <v>28</v>
      </c>
      <c r="E315" t="s">
        <v>23</v>
      </c>
      <c r="F315" t="s">
        <v>638</v>
      </c>
      <c r="G315">
        <v>26</v>
      </c>
      <c r="H315" t="s">
        <v>849</v>
      </c>
      <c r="I315" t="s">
        <v>34</v>
      </c>
      <c r="J315">
        <v>60</v>
      </c>
      <c r="K315">
        <v>27</v>
      </c>
      <c r="L315">
        <v>3.8</v>
      </c>
      <c r="M315" t="s">
        <v>14</v>
      </c>
      <c r="N315" s="2">
        <v>978.39</v>
      </c>
      <c r="O315" s="2" t="str">
        <f>IF(EHR_Export[[#This Row],[Arrival Time]]&lt;=TIME(7,0,0), "Night", IF(EHR_Export[[#This Row],[Arrival Time]]&lt;TIME(15,0,0), "Day", "Evening"))</f>
        <v>Evening</v>
      </c>
      <c r="P315" cm="1">
        <f t="array" ref="P3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316" spans="1:16" x14ac:dyDescent="0.25">
      <c r="A316" t="s">
        <v>1486</v>
      </c>
      <c r="B316" s="1">
        <v>46058</v>
      </c>
      <c r="C316" s="4">
        <v>0.63124999999999998</v>
      </c>
      <c r="D316" t="s">
        <v>28</v>
      </c>
      <c r="E316" t="s">
        <v>23</v>
      </c>
      <c r="F316" t="s">
        <v>665</v>
      </c>
      <c r="G316">
        <v>30</v>
      </c>
      <c r="H316" t="s">
        <v>847</v>
      </c>
      <c r="I316" t="s">
        <v>34</v>
      </c>
      <c r="J316">
        <v>29</v>
      </c>
      <c r="K316">
        <v>17</v>
      </c>
      <c r="M316" t="s">
        <v>14</v>
      </c>
      <c r="O316" s="2" t="str">
        <f>IF(EHR_Export[[#This Row],[Arrival Time]]&lt;=TIME(7,0,0), "Night", IF(EHR_Export[[#This Row],[Arrival Time]]&lt;TIME(15,0,0), "Day", "Evening"))</f>
        <v>Evening</v>
      </c>
      <c r="P316" cm="1">
        <f t="array" ref="P3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317" spans="1:16" x14ac:dyDescent="0.25">
      <c r="A317" t="s">
        <v>1507</v>
      </c>
      <c r="B317" s="1">
        <v>46058</v>
      </c>
      <c r="C317" s="4">
        <v>0.53263888888888888</v>
      </c>
      <c r="D317" t="s">
        <v>58</v>
      </c>
      <c r="E317" t="s">
        <v>842</v>
      </c>
      <c r="F317" t="s">
        <v>686</v>
      </c>
      <c r="G317">
        <v>45</v>
      </c>
      <c r="H317" t="s">
        <v>849</v>
      </c>
      <c r="I317" t="s">
        <v>34</v>
      </c>
      <c r="J317">
        <v>31</v>
      </c>
      <c r="K317">
        <v>59</v>
      </c>
      <c r="L317">
        <v>4</v>
      </c>
      <c r="M317" t="s">
        <v>18</v>
      </c>
      <c r="N317" s="2">
        <v>2214.59</v>
      </c>
      <c r="O317" s="2" t="str">
        <f>IF(EHR_Export[[#This Row],[Arrival Time]]&lt;=TIME(7,0,0), "Night", IF(EHR_Export[[#This Row],[Arrival Time]]&lt;TIME(15,0,0), "Day", "Evening"))</f>
        <v>Day</v>
      </c>
      <c r="P317" cm="1">
        <f t="array" ref="P3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318" spans="1:16" x14ac:dyDescent="0.25">
      <c r="A318" t="s">
        <v>1584</v>
      </c>
      <c r="B318" s="1">
        <v>46058</v>
      </c>
      <c r="C318" s="4">
        <v>0.43541666666666667</v>
      </c>
      <c r="D318" t="s">
        <v>28</v>
      </c>
      <c r="E318" t="s">
        <v>23</v>
      </c>
      <c r="F318" t="s">
        <v>763</v>
      </c>
      <c r="G318">
        <v>54</v>
      </c>
      <c r="H318" t="s">
        <v>847</v>
      </c>
      <c r="I318" t="s">
        <v>25</v>
      </c>
      <c r="J318">
        <v>68</v>
      </c>
      <c r="K318">
        <v>82</v>
      </c>
      <c r="L318">
        <v>3</v>
      </c>
      <c r="M318" t="s">
        <v>14</v>
      </c>
      <c r="N318" s="2">
        <v>306.23</v>
      </c>
      <c r="O318" s="2" t="str">
        <f>IF(EHR_Export[[#This Row],[Arrival Time]]&lt;=TIME(7,0,0), "Night", IF(EHR_Export[[#This Row],[Arrival Time]]&lt;TIME(15,0,0), "Day", "Evening"))</f>
        <v>Day</v>
      </c>
      <c r="P318" cm="1">
        <f t="array" ref="P3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19" spans="1:16" x14ac:dyDescent="0.25">
      <c r="A319" t="s">
        <v>1240</v>
      </c>
      <c r="B319" s="1">
        <v>46059</v>
      </c>
      <c r="C319" s="4">
        <v>0.76458333333333328</v>
      </c>
      <c r="D319" t="s">
        <v>21</v>
      </c>
      <c r="E319" t="s">
        <v>53</v>
      </c>
      <c r="F319" t="s">
        <v>419</v>
      </c>
      <c r="G319">
        <v>78</v>
      </c>
      <c r="H319" t="s">
        <v>847</v>
      </c>
      <c r="I319" t="s">
        <v>34</v>
      </c>
      <c r="J319">
        <v>40</v>
      </c>
      <c r="K319">
        <v>10</v>
      </c>
      <c r="L319">
        <v>3.3</v>
      </c>
      <c r="N319" s="2">
        <v>371.71</v>
      </c>
      <c r="O319" s="2" t="str">
        <f>IF(EHR_Export[[#This Row],[Arrival Time]]&lt;=TIME(7,0,0), "Night", IF(EHR_Export[[#This Row],[Arrival Time]]&lt;TIME(15,0,0), "Day", "Evening"))</f>
        <v>Evening</v>
      </c>
      <c r="P319" cm="1">
        <f t="array" ref="P3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20" spans="1:16" x14ac:dyDescent="0.25">
      <c r="A320" t="s">
        <v>1293</v>
      </c>
      <c r="B320" s="1">
        <v>46059</v>
      </c>
      <c r="C320" s="4">
        <v>0.77847222222222223</v>
      </c>
      <c r="D320" t="s">
        <v>21</v>
      </c>
      <c r="E320" t="s">
        <v>53</v>
      </c>
      <c r="F320" t="s">
        <v>472</v>
      </c>
      <c r="G320">
        <v>38</v>
      </c>
      <c r="H320" t="s">
        <v>849</v>
      </c>
      <c r="I320" t="s">
        <v>34</v>
      </c>
      <c r="J320">
        <v>41</v>
      </c>
      <c r="K320">
        <v>51</v>
      </c>
      <c r="L320">
        <v>4</v>
      </c>
      <c r="M320" t="s">
        <v>14</v>
      </c>
      <c r="N320" s="2">
        <v>631.01</v>
      </c>
      <c r="O320" s="2" t="str">
        <f>IF(EHR_Export[[#This Row],[Arrival Time]]&lt;=TIME(7,0,0), "Night", IF(EHR_Export[[#This Row],[Arrival Time]]&lt;TIME(15,0,0), "Day", "Evening"))</f>
        <v>Evening</v>
      </c>
      <c r="P320" cm="1">
        <f t="array" ref="P3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21" spans="1:16" x14ac:dyDescent="0.25">
      <c r="A321" t="s">
        <v>1405</v>
      </c>
      <c r="B321" s="1">
        <v>46059</v>
      </c>
      <c r="C321" s="4">
        <v>0.54236111111111107</v>
      </c>
      <c r="D321" t="s">
        <v>58</v>
      </c>
      <c r="E321" t="s">
        <v>842</v>
      </c>
      <c r="F321" t="s">
        <v>584</v>
      </c>
      <c r="G321">
        <v>31</v>
      </c>
      <c r="H321" t="s">
        <v>847</v>
      </c>
      <c r="I321" t="s">
        <v>38</v>
      </c>
      <c r="J321">
        <v>43</v>
      </c>
      <c r="K321">
        <v>100</v>
      </c>
      <c r="L321">
        <v>2.5</v>
      </c>
      <c r="M321" t="s">
        <v>14</v>
      </c>
      <c r="N321" s="2">
        <v>3433.32</v>
      </c>
      <c r="O321" s="2" t="str">
        <f>IF(EHR_Export[[#This Row],[Arrival Time]]&lt;=TIME(7,0,0), "Night", IF(EHR_Export[[#This Row],[Arrival Time]]&lt;TIME(15,0,0), "Day", "Evening"))</f>
        <v>Day</v>
      </c>
      <c r="P321" cm="1">
        <f t="array" ref="P3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322" spans="1:16" x14ac:dyDescent="0.25">
      <c r="A322" t="s">
        <v>1420</v>
      </c>
      <c r="B322" s="1">
        <v>46059</v>
      </c>
      <c r="C322" s="4">
        <v>0.44513888888888886</v>
      </c>
      <c r="D322" t="s">
        <v>28</v>
      </c>
      <c r="E322" t="s">
        <v>23</v>
      </c>
      <c r="F322" t="s">
        <v>599</v>
      </c>
      <c r="G322">
        <v>39</v>
      </c>
      <c r="H322" t="s">
        <v>849</v>
      </c>
      <c r="I322" t="s">
        <v>34</v>
      </c>
      <c r="J322">
        <v>39</v>
      </c>
      <c r="K322">
        <v>10</v>
      </c>
      <c r="L322">
        <v>4.7</v>
      </c>
      <c r="N322" s="2">
        <v>602.04</v>
      </c>
      <c r="O322" s="2" t="str">
        <f>IF(EHR_Export[[#This Row],[Arrival Time]]&lt;=TIME(7,0,0), "Night", IF(EHR_Export[[#This Row],[Arrival Time]]&lt;TIME(15,0,0), "Day", "Evening"))</f>
        <v>Day</v>
      </c>
      <c r="P322" cm="1">
        <f t="array" ref="P3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23" spans="1:16" x14ac:dyDescent="0.25">
      <c r="A323" t="s">
        <v>1443</v>
      </c>
      <c r="B323" s="1">
        <v>46059</v>
      </c>
      <c r="C323" s="4">
        <v>0.73888888888888893</v>
      </c>
      <c r="D323" t="s">
        <v>21</v>
      </c>
      <c r="E323" t="s">
        <v>53</v>
      </c>
      <c r="F323" t="s">
        <v>622</v>
      </c>
      <c r="G323">
        <v>57</v>
      </c>
      <c r="H323" t="s">
        <v>847</v>
      </c>
      <c r="I323" t="s">
        <v>13</v>
      </c>
      <c r="J323">
        <v>69</v>
      </c>
      <c r="K323">
        <v>50</v>
      </c>
      <c r="L323">
        <v>3.5</v>
      </c>
      <c r="M323" t="s">
        <v>18</v>
      </c>
      <c r="N323" s="2">
        <v>564.35</v>
      </c>
      <c r="O323" s="2" t="str">
        <f>IF(EHR_Export[[#This Row],[Arrival Time]]&lt;=TIME(7,0,0), "Night", IF(EHR_Export[[#This Row],[Arrival Time]]&lt;TIME(15,0,0), "Day", "Evening"))</f>
        <v>Evening</v>
      </c>
      <c r="P323" cm="1">
        <f t="array" ref="P3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24" spans="1:16" x14ac:dyDescent="0.25">
      <c r="A324" t="s">
        <v>1505</v>
      </c>
      <c r="B324" s="1">
        <v>46059</v>
      </c>
      <c r="C324" s="4">
        <v>0.61458333333333337</v>
      </c>
      <c r="D324" t="s">
        <v>126</v>
      </c>
      <c r="E324" t="s">
        <v>46</v>
      </c>
      <c r="F324" t="s">
        <v>684</v>
      </c>
      <c r="G324">
        <v>47</v>
      </c>
      <c r="H324" t="s">
        <v>847</v>
      </c>
      <c r="I324" t="s">
        <v>38</v>
      </c>
      <c r="J324">
        <v>36</v>
      </c>
      <c r="K324">
        <v>30</v>
      </c>
      <c r="L324">
        <v>3.7</v>
      </c>
      <c r="M324" t="s">
        <v>14</v>
      </c>
      <c r="N324" s="2">
        <v>2018</v>
      </c>
      <c r="O324" s="2" t="str">
        <f>IF(EHR_Export[[#This Row],[Arrival Time]]&lt;=TIME(7,0,0), "Night", IF(EHR_Export[[#This Row],[Arrival Time]]&lt;TIME(15,0,0), "Day", "Evening"))</f>
        <v>Day</v>
      </c>
      <c r="P324" cm="1">
        <f t="array" ref="P3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25" spans="1:16" x14ac:dyDescent="0.25">
      <c r="A325" t="s">
        <v>935</v>
      </c>
      <c r="B325" s="1">
        <v>46060</v>
      </c>
      <c r="C325" s="4">
        <v>0.66319444444444442</v>
      </c>
      <c r="D325" t="s">
        <v>21</v>
      </c>
      <c r="E325" t="s">
        <v>53</v>
      </c>
      <c r="F325" t="s">
        <v>113</v>
      </c>
      <c r="G325">
        <v>38</v>
      </c>
      <c r="H325" t="s">
        <v>849</v>
      </c>
      <c r="I325" t="s">
        <v>25</v>
      </c>
      <c r="J325">
        <v>27</v>
      </c>
      <c r="K325">
        <v>29</v>
      </c>
      <c r="L325">
        <v>4.3</v>
      </c>
      <c r="M325" t="s">
        <v>18</v>
      </c>
      <c r="O325" s="2" t="str">
        <f>IF(EHR_Export[[#This Row],[Arrival Time]]&lt;=TIME(7,0,0), "Night", IF(EHR_Export[[#This Row],[Arrival Time]]&lt;TIME(15,0,0), "Day", "Evening"))</f>
        <v>Evening</v>
      </c>
      <c r="P325" cm="1">
        <f t="array" ref="P3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326" spans="1:16" x14ac:dyDescent="0.25">
      <c r="A326" t="s">
        <v>943</v>
      </c>
      <c r="B326" s="1">
        <v>46060</v>
      </c>
      <c r="C326" s="4">
        <v>0.64236111111111116</v>
      </c>
      <c r="D326" t="s">
        <v>58</v>
      </c>
      <c r="E326" t="s">
        <v>842</v>
      </c>
      <c r="F326" t="s">
        <v>121</v>
      </c>
      <c r="G326">
        <v>69</v>
      </c>
      <c r="H326" t="s">
        <v>849</v>
      </c>
      <c r="I326" t="s">
        <v>38</v>
      </c>
      <c r="J326">
        <v>82</v>
      </c>
      <c r="K326">
        <v>76</v>
      </c>
      <c r="L326">
        <v>3.8</v>
      </c>
      <c r="M326" t="s">
        <v>14</v>
      </c>
      <c r="N326" s="2">
        <v>2780.55</v>
      </c>
      <c r="O326" s="2" t="str">
        <f>IF(EHR_Export[[#This Row],[Arrival Time]]&lt;=TIME(7,0,0), "Night", IF(EHR_Export[[#This Row],[Arrival Time]]&lt;TIME(15,0,0), "Day", "Evening"))</f>
        <v>Evening</v>
      </c>
      <c r="P326" cm="1">
        <f t="array" ref="P3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27" spans="1:16" x14ac:dyDescent="0.25">
      <c r="A327" t="s">
        <v>965</v>
      </c>
      <c r="B327" s="1">
        <v>46060</v>
      </c>
      <c r="C327" s="4">
        <v>0.68611111111111112</v>
      </c>
      <c r="D327" t="s">
        <v>28</v>
      </c>
      <c r="E327" t="s">
        <v>23</v>
      </c>
      <c r="F327" t="s">
        <v>144</v>
      </c>
      <c r="G327">
        <v>22</v>
      </c>
      <c r="H327" t="s">
        <v>849</v>
      </c>
      <c r="I327" t="s">
        <v>38</v>
      </c>
      <c r="J327">
        <v>123</v>
      </c>
      <c r="K327">
        <v>71</v>
      </c>
      <c r="L327">
        <v>1.9</v>
      </c>
      <c r="M327" t="s">
        <v>14</v>
      </c>
      <c r="N327" s="2">
        <v>876.71</v>
      </c>
      <c r="O327" s="2" t="str">
        <f>IF(EHR_Export[[#This Row],[Arrival Time]]&lt;=TIME(7,0,0), "Night", IF(EHR_Export[[#This Row],[Arrival Time]]&lt;TIME(15,0,0), "Day", "Evening"))</f>
        <v>Evening</v>
      </c>
      <c r="P327" cm="1">
        <f t="array" ref="P3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28" spans="1:16" x14ac:dyDescent="0.25">
      <c r="A328" t="s">
        <v>967</v>
      </c>
      <c r="B328" s="1">
        <v>46060</v>
      </c>
      <c r="C328" s="4">
        <v>0.64027777777777772</v>
      </c>
      <c r="D328" t="s">
        <v>58</v>
      </c>
      <c r="E328" t="s">
        <v>842</v>
      </c>
      <c r="F328" t="s">
        <v>146</v>
      </c>
      <c r="G328">
        <v>1</v>
      </c>
      <c r="H328" t="s">
        <v>849</v>
      </c>
      <c r="I328" t="s">
        <v>34</v>
      </c>
      <c r="J328">
        <v>74</v>
      </c>
      <c r="K328">
        <v>99</v>
      </c>
      <c r="L328">
        <v>3.7</v>
      </c>
      <c r="M328" t="s">
        <v>14</v>
      </c>
      <c r="N328" s="2">
        <v>4060.03</v>
      </c>
      <c r="O328" s="2" t="str">
        <f>IF(EHR_Export[[#This Row],[Arrival Time]]&lt;=TIME(7,0,0), "Night", IF(EHR_Export[[#This Row],[Arrival Time]]&lt;TIME(15,0,0), "Day", "Evening"))</f>
        <v>Evening</v>
      </c>
      <c r="P328" cm="1">
        <f t="array" ref="P3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29" spans="1:16" x14ac:dyDescent="0.25">
      <c r="A329" t="s">
        <v>984</v>
      </c>
      <c r="B329" s="1">
        <v>46060</v>
      </c>
      <c r="C329" s="4">
        <v>0.65555555555555556</v>
      </c>
      <c r="D329" t="s">
        <v>126</v>
      </c>
      <c r="E329" t="s">
        <v>46</v>
      </c>
      <c r="F329" t="s">
        <v>163</v>
      </c>
      <c r="G329">
        <v>35</v>
      </c>
      <c r="H329" t="s">
        <v>847</v>
      </c>
      <c r="I329" t="s">
        <v>38</v>
      </c>
      <c r="J329">
        <v>30</v>
      </c>
      <c r="K329">
        <v>39</v>
      </c>
      <c r="L329">
        <v>3.4</v>
      </c>
      <c r="M329" t="s">
        <v>14</v>
      </c>
      <c r="N329" s="2">
        <v>1213.4000000000001</v>
      </c>
      <c r="O329" s="2" t="str">
        <f>IF(EHR_Export[[#This Row],[Arrival Time]]&lt;=TIME(7,0,0), "Night", IF(EHR_Export[[#This Row],[Arrival Time]]&lt;TIME(15,0,0), "Day", "Evening"))</f>
        <v>Evening</v>
      </c>
      <c r="P329" cm="1">
        <f t="array" ref="P3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30" spans="1:16" x14ac:dyDescent="0.25">
      <c r="A330" t="s">
        <v>1104</v>
      </c>
      <c r="B330" s="1">
        <v>46060</v>
      </c>
      <c r="C330" s="4">
        <v>0.63958333333333328</v>
      </c>
      <c r="D330" t="s">
        <v>28</v>
      </c>
      <c r="E330" t="s">
        <v>23</v>
      </c>
      <c r="F330" t="s">
        <v>283</v>
      </c>
      <c r="G330">
        <v>60</v>
      </c>
      <c r="H330" t="s">
        <v>849</v>
      </c>
      <c r="I330" t="s">
        <v>13</v>
      </c>
      <c r="J330">
        <v>46</v>
      </c>
      <c r="K330">
        <v>54</v>
      </c>
      <c r="L330">
        <v>4.5</v>
      </c>
      <c r="M330" t="s">
        <v>14</v>
      </c>
      <c r="N330" s="2">
        <v>1075.6300000000001</v>
      </c>
      <c r="O330" s="2" t="str">
        <f>IF(EHR_Export[[#This Row],[Arrival Time]]&lt;=TIME(7,0,0), "Night", IF(EHR_Export[[#This Row],[Arrival Time]]&lt;TIME(15,0,0), "Day", "Evening"))</f>
        <v>Evening</v>
      </c>
      <c r="P330" cm="1">
        <f t="array" ref="P3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31" spans="1:16" x14ac:dyDescent="0.25">
      <c r="A331" t="s">
        <v>1189</v>
      </c>
      <c r="B331" s="1">
        <v>46060</v>
      </c>
      <c r="C331" s="4">
        <v>0.30416666666666664</v>
      </c>
      <c r="D331" t="s">
        <v>48</v>
      </c>
      <c r="E331" t="s">
        <v>42</v>
      </c>
      <c r="F331" t="s">
        <v>368</v>
      </c>
      <c r="G331">
        <v>12</v>
      </c>
      <c r="H331" t="s">
        <v>849</v>
      </c>
      <c r="I331" t="s">
        <v>25</v>
      </c>
      <c r="J331">
        <v>60</v>
      </c>
      <c r="K331">
        <v>26</v>
      </c>
      <c r="M331" t="s">
        <v>18</v>
      </c>
      <c r="N331" s="2">
        <v>614.71</v>
      </c>
      <c r="O331" s="2" t="str">
        <f>IF(EHR_Export[[#This Row],[Arrival Time]]&lt;=TIME(7,0,0), "Night", IF(EHR_Export[[#This Row],[Arrival Time]]&lt;TIME(15,0,0), "Day", "Evening"))</f>
        <v>Day</v>
      </c>
      <c r="P331" cm="1">
        <f t="array" ref="P3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32" spans="1:16" x14ac:dyDescent="0.25">
      <c r="A332" t="s">
        <v>1283</v>
      </c>
      <c r="B332" s="1">
        <v>46060</v>
      </c>
      <c r="C332" s="4">
        <v>0.66111111111111109</v>
      </c>
      <c r="D332" t="s">
        <v>48</v>
      </c>
      <c r="E332" t="s">
        <v>42</v>
      </c>
      <c r="F332" t="s">
        <v>462</v>
      </c>
      <c r="G332">
        <v>70</v>
      </c>
      <c r="H332" t="s">
        <v>847</v>
      </c>
      <c r="I332" t="s">
        <v>25</v>
      </c>
      <c r="J332">
        <v>65</v>
      </c>
      <c r="K332">
        <v>52</v>
      </c>
      <c r="L332">
        <v>3.5</v>
      </c>
      <c r="M332" t="s">
        <v>14</v>
      </c>
      <c r="N332" s="2">
        <v>1349.06</v>
      </c>
      <c r="O332" s="2" t="str">
        <f>IF(EHR_Export[[#This Row],[Arrival Time]]&lt;=TIME(7,0,0), "Night", IF(EHR_Export[[#This Row],[Arrival Time]]&lt;TIME(15,0,0), "Day", "Evening"))</f>
        <v>Evening</v>
      </c>
      <c r="P332" cm="1">
        <f t="array" ref="P3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33" spans="1:16" x14ac:dyDescent="0.25">
      <c r="A333" t="s">
        <v>867</v>
      </c>
      <c r="B333" s="1">
        <v>46061</v>
      </c>
      <c r="C333" s="4">
        <v>0.49861111111111112</v>
      </c>
      <c r="D333" t="s">
        <v>28</v>
      </c>
      <c r="E333" t="s">
        <v>23</v>
      </c>
      <c r="F333" t="s">
        <v>40</v>
      </c>
      <c r="G333">
        <v>51</v>
      </c>
      <c r="H333" t="s">
        <v>847</v>
      </c>
      <c r="I333" t="s">
        <v>38</v>
      </c>
      <c r="J333">
        <v>56</v>
      </c>
      <c r="K333">
        <v>10</v>
      </c>
      <c r="L333">
        <v>2.2999999999999998</v>
      </c>
      <c r="M333" t="s">
        <v>14</v>
      </c>
      <c r="N333" s="2">
        <v>607.61</v>
      </c>
      <c r="O333" s="2" t="str">
        <f>IF(EHR_Export[[#This Row],[Arrival Time]]&lt;=TIME(7,0,0), "Night", IF(EHR_Export[[#This Row],[Arrival Time]]&lt;TIME(15,0,0), "Day", "Evening"))</f>
        <v>Day</v>
      </c>
      <c r="P333" cm="1">
        <f t="array" ref="P3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34" spans="1:16" x14ac:dyDescent="0.25">
      <c r="A334" t="s">
        <v>903</v>
      </c>
      <c r="B334" s="1">
        <v>46061</v>
      </c>
      <c r="C334" s="4">
        <v>0.38055555555555554</v>
      </c>
      <c r="D334" t="s">
        <v>21</v>
      </c>
      <c r="E334" t="s">
        <v>53</v>
      </c>
      <c r="F334" t="s">
        <v>81</v>
      </c>
      <c r="G334">
        <v>72</v>
      </c>
      <c r="H334" t="s">
        <v>849</v>
      </c>
      <c r="I334" t="s">
        <v>13</v>
      </c>
      <c r="J334">
        <v>27</v>
      </c>
      <c r="K334">
        <v>46</v>
      </c>
      <c r="L334">
        <v>4.5999999999999996</v>
      </c>
      <c r="M334" t="s">
        <v>14</v>
      </c>
      <c r="N334" s="2">
        <v>558.72</v>
      </c>
      <c r="O334" s="2" t="str">
        <f>IF(EHR_Export[[#This Row],[Arrival Time]]&lt;=TIME(7,0,0), "Night", IF(EHR_Export[[#This Row],[Arrival Time]]&lt;TIME(15,0,0), "Day", "Evening"))</f>
        <v>Day</v>
      </c>
      <c r="P334" cm="1">
        <f t="array" ref="P3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335" spans="1:16" x14ac:dyDescent="0.25">
      <c r="A335" t="s">
        <v>909</v>
      </c>
      <c r="B335" s="1">
        <v>46061</v>
      </c>
      <c r="C335" s="4">
        <v>0.73055555555555551</v>
      </c>
      <c r="D335" t="s">
        <v>28</v>
      </c>
      <c r="E335" t="s">
        <v>23</v>
      </c>
      <c r="F335" t="s">
        <v>87</v>
      </c>
      <c r="G335">
        <v>9</v>
      </c>
      <c r="H335" t="s">
        <v>849</v>
      </c>
      <c r="I335" t="s">
        <v>25</v>
      </c>
      <c r="J335">
        <v>71</v>
      </c>
      <c r="K335">
        <v>21</v>
      </c>
      <c r="L335">
        <v>3.1</v>
      </c>
      <c r="M335" t="s">
        <v>18</v>
      </c>
      <c r="N335" s="2">
        <v>771.03</v>
      </c>
      <c r="O335" s="2" t="str">
        <f>IF(EHR_Export[[#This Row],[Arrival Time]]&lt;=TIME(7,0,0), "Night", IF(EHR_Export[[#This Row],[Arrival Time]]&lt;TIME(15,0,0), "Day", "Evening"))</f>
        <v>Evening</v>
      </c>
      <c r="P335" cm="1">
        <f t="array" ref="P3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36" spans="1:16" x14ac:dyDescent="0.25">
      <c r="A336" t="s">
        <v>949</v>
      </c>
      <c r="B336" s="1">
        <v>46061</v>
      </c>
      <c r="C336" s="4">
        <v>0.76111111111111107</v>
      </c>
      <c r="D336" t="s">
        <v>21</v>
      </c>
      <c r="E336" t="s">
        <v>53</v>
      </c>
      <c r="F336" t="s">
        <v>128</v>
      </c>
      <c r="G336">
        <v>59</v>
      </c>
      <c r="H336" t="s">
        <v>849</v>
      </c>
      <c r="I336" t="s">
        <v>25</v>
      </c>
      <c r="J336">
        <v>51</v>
      </c>
      <c r="K336">
        <v>47</v>
      </c>
      <c r="L336">
        <v>3.4</v>
      </c>
      <c r="M336" t="s">
        <v>14</v>
      </c>
      <c r="N336" s="2">
        <v>734.48</v>
      </c>
      <c r="O336" s="2" t="str">
        <f>IF(EHR_Export[[#This Row],[Arrival Time]]&lt;=TIME(7,0,0), "Night", IF(EHR_Export[[#This Row],[Arrival Time]]&lt;TIME(15,0,0), "Day", "Evening"))</f>
        <v>Evening</v>
      </c>
      <c r="P336" cm="1">
        <f t="array" ref="P3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37" spans="1:16" x14ac:dyDescent="0.25">
      <c r="A337" t="s">
        <v>1131</v>
      </c>
      <c r="B337" s="1">
        <v>46061</v>
      </c>
      <c r="C337" s="4">
        <v>0.48055555555555557</v>
      </c>
      <c r="D337" t="s">
        <v>28</v>
      </c>
      <c r="E337" t="s">
        <v>23</v>
      </c>
      <c r="F337" t="s">
        <v>310</v>
      </c>
      <c r="G337">
        <v>42</v>
      </c>
      <c r="H337" t="s">
        <v>849</v>
      </c>
      <c r="I337" t="s">
        <v>38</v>
      </c>
      <c r="J337">
        <v>36</v>
      </c>
      <c r="K337">
        <v>54</v>
      </c>
      <c r="L337">
        <v>4.0999999999999996</v>
      </c>
      <c r="M337" t="s">
        <v>14</v>
      </c>
      <c r="N337" s="2">
        <v>1090.55</v>
      </c>
      <c r="O337" s="2" t="str">
        <f>IF(EHR_Export[[#This Row],[Arrival Time]]&lt;=TIME(7,0,0), "Night", IF(EHR_Export[[#This Row],[Arrival Time]]&lt;TIME(15,0,0), "Day", "Evening"))</f>
        <v>Day</v>
      </c>
      <c r="P337" cm="1">
        <f t="array" ref="P3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38" spans="1:16" x14ac:dyDescent="0.25">
      <c r="A338" t="s">
        <v>1156</v>
      </c>
      <c r="B338" s="1">
        <v>46061</v>
      </c>
      <c r="C338" s="4">
        <v>0.44583333333333336</v>
      </c>
      <c r="D338" t="s">
        <v>28</v>
      </c>
      <c r="E338" t="s">
        <v>23</v>
      </c>
      <c r="F338" t="s">
        <v>335</v>
      </c>
      <c r="G338">
        <v>22</v>
      </c>
      <c r="H338" t="s">
        <v>847</v>
      </c>
      <c r="I338" t="s">
        <v>34</v>
      </c>
      <c r="J338">
        <v>66</v>
      </c>
      <c r="K338">
        <v>15</v>
      </c>
      <c r="L338">
        <v>3.8</v>
      </c>
      <c r="M338" t="s">
        <v>14</v>
      </c>
      <c r="N338" s="2">
        <v>1090.3</v>
      </c>
      <c r="O338" s="2" t="str">
        <f>IF(EHR_Export[[#This Row],[Arrival Time]]&lt;=TIME(7,0,0), "Night", IF(EHR_Export[[#This Row],[Arrival Time]]&lt;TIME(15,0,0), "Day", "Evening"))</f>
        <v>Day</v>
      </c>
      <c r="P338" cm="1">
        <f t="array" ref="P3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39" spans="1:16" x14ac:dyDescent="0.25">
      <c r="A339" t="s">
        <v>1193</v>
      </c>
      <c r="B339" s="1">
        <v>46061</v>
      </c>
      <c r="C339" s="4">
        <v>0.7270833333333333</v>
      </c>
      <c r="D339" t="s">
        <v>21</v>
      </c>
      <c r="E339" t="s">
        <v>53</v>
      </c>
      <c r="F339" t="s">
        <v>372</v>
      </c>
      <c r="G339">
        <v>45</v>
      </c>
      <c r="H339" t="s">
        <v>847</v>
      </c>
      <c r="I339" t="s">
        <v>38</v>
      </c>
      <c r="J339">
        <v>61</v>
      </c>
      <c r="K339">
        <v>10</v>
      </c>
      <c r="L339">
        <v>3.4</v>
      </c>
      <c r="M339" t="s">
        <v>14</v>
      </c>
      <c r="N339" s="2">
        <v>829.46</v>
      </c>
      <c r="O339" s="2" t="str">
        <f>IF(EHR_Export[[#This Row],[Arrival Time]]&lt;=TIME(7,0,0), "Night", IF(EHR_Export[[#This Row],[Arrival Time]]&lt;TIME(15,0,0), "Day", "Evening"))</f>
        <v>Evening</v>
      </c>
      <c r="P339" cm="1">
        <f t="array" ref="P3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40" spans="1:16" x14ac:dyDescent="0.25">
      <c r="A340" t="s">
        <v>1231</v>
      </c>
      <c r="B340" s="1">
        <v>46061</v>
      </c>
      <c r="C340" s="4">
        <v>0.47569444444444442</v>
      </c>
      <c r="D340" t="s">
        <v>21</v>
      </c>
      <c r="E340" t="s">
        <v>53</v>
      </c>
      <c r="F340" t="s">
        <v>410</v>
      </c>
      <c r="G340">
        <v>45</v>
      </c>
      <c r="H340" t="s">
        <v>849</v>
      </c>
      <c r="I340" t="s">
        <v>38</v>
      </c>
      <c r="J340">
        <v>71</v>
      </c>
      <c r="K340">
        <v>10</v>
      </c>
      <c r="L340">
        <v>3.3</v>
      </c>
      <c r="M340" t="s">
        <v>14</v>
      </c>
      <c r="N340" s="2">
        <v>606.08000000000004</v>
      </c>
      <c r="O340" s="2" t="str">
        <f>IF(EHR_Export[[#This Row],[Arrival Time]]&lt;=TIME(7,0,0), "Night", IF(EHR_Export[[#This Row],[Arrival Time]]&lt;TIME(15,0,0), "Day", "Evening"))</f>
        <v>Day</v>
      </c>
      <c r="P340" cm="1">
        <f t="array" ref="P3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341" spans="1:16" x14ac:dyDescent="0.25">
      <c r="A341" t="s">
        <v>1288</v>
      </c>
      <c r="B341" s="1">
        <v>46061</v>
      </c>
      <c r="C341" s="4">
        <v>0.74375000000000002</v>
      </c>
      <c r="D341" t="s">
        <v>48</v>
      </c>
      <c r="E341" t="s">
        <v>42</v>
      </c>
      <c r="F341" t="s">
        <v>467</v>
      </c>
      <c r="G341">
        <v>35</v>
      </c>
      <c r="H341" t="s">
        <v>847</v>
      </c>
      <c r="I341" t="s">
        <v>34</v>
      </c>
      <c r="J341">
        <v>68</v>
      </c>
      <c r="K341">
        <v>37</v>
      </c>
      <c r="L341">
        <v>3.5</v>
      </c>
      <c r="M341" t="s">
        <v>14</v>
      </c>
      <c r="N341" s="2">
        <v>1166.08</v>
      </c>
      <c r="O341" s="2" t="str">
        <f>IF(EHR_Export[[#This Row],[Arrival Time]]&lt;=TIME(7,0,0), "Night", IF(EHR_Export[[#This Row],[Arrival Time]]&lt;TIME(15,0,0), "Day", "Evening"))</f>
        <v>Evening</v>
      </c>
      <c r="P341" cm="1">
        <f t="array" ref="P3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42" spans="1:16" x14ac:dyDescent="0.25">
      <c r="A342" t="s">
        <v>1324</v>
      </c>
      <c r="B342" s="1">
        <v>46061</v>
      </c>
      <c r="C342" s="4">
        <v>0.85972222222222228</v>
      </c>
      <c r="D342" t="s">
        <v>28</v>
      </c>
      <c r="E342" t="s">
        <v>23</v>
      </c>
      <c r="F342" t="s">
        <v>503</v>
      </c>
      <c r="G342">
        <v>57</v>
      </c>
      <c r="H342" t="s">
        <v>847</v>
      </c>
      <c r="I342" t="s">
        <v>25</v>
      </c>
      <c r="J342">
        <v>77</v>
      </c>
      <c r="K342">
        <v>74</v>
      </c>
      <c r="M342" t="s">
        <v>14</v>
      </c>
      <c r="N342" s="2">
        <v>656.78</v>
      </c>
      <c r="O342" s="2" t="str">
        <f>IF(EHR_Export[[#This Row],[Arrival Time]]&lt;=TIME(7,0,0), "Night", IF(EHR_Export[[#This Row],[Arrival Time]]&lt;TIME(15,0,0), "Day", "Evening"))</f>
        <v>Evening</v>
      </c>
      <c r="P342" cm="1">
        <f t="array" ref="P3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43" spans="1:16" x14ac:dyDescent="0.25">
      <c r="A343" t="s">
        <v>1501</v>
      </c>
      <c r="B343" s="1">
        <v>46061</v>
      </c>
      <c r="C343" s="4">
        <v>0.55208333333333337</v>
      </c>
      <c r="D343" t="s">
        <v>28</v>
      </c>
      <c r="E343" t="s">
        <v>23</v>
      </c>
      <c r="F343" t="s">
        <v>680</v>
      </c>
      <c r="G343">
        <v>21</v>
      </c>
      <c r="H343" t="s">
        <v>847</v>
      </c>
      <c r="I343" t="s">
        <v>25</v>
      </c>
      <c r="J343">
        <v>66</v>
      </c>
      <c r="K343">
        <v>46</v>
      </c>
      <c r="L343">
        <v>2.9</v>
      </c>
      <c r="M343" t="s">
        <v>14</v>
      </c>
      <c r="N343" s="2">
        <v>703.88</v>
      </c>
      <c r="O343" s="2" t="str">
        <f>IF(EHR_Export[[#This Row],[Arrival Time]]&lt;=TIME(7,0,0), "Night", IF(EHR_Export[[#This Row],[Arrival Time]]&lt;TIME(15,0,0), "Day", "Evening"))</f>
        <v>Day</v>
      </c>
      <c r="P343" cm="1">
        <f t="array" ref="P3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44" spans="1:16" x14ac:dyDescent="0.25">
      <c r="A344" t="s">
        <v>1614</v>
      </c>
      <c r="B344" s="1">
        <v>46061</v>
      </c>
      <c r="C344" s="4">
        <v>0.42083333333333334</v>
      </c>
      <c r="D344" t="s">
        <v>58</v>
      </c>
      <c r="E344" t="s">
        <v>842</v>
      </c>
      <c r="F344" t="s">
        <v>793</v>
      </c>
      <c r="G344">
        <v>56</v>
      </c>
      <c r="H344" t="s">
        <v>849</v>
      </c>
      <c r="I344" t="s">
        <v>13</v>
      </c>
      <c r="J344">
        <v>63</v>
      </c>
      <c r="K344">
        <v>92</v>
      </c>
      <c r="L344">
        <v>2.2999999999999998</v>
      </c>
      <c r="M344" t="s">
        <v>18</v>
      </c>
      <c r="N344" s="2">
        <v>2302.02</v>
      </c>
      <c r="O344" s="2" t="str">
        <f>IF(EHR_Export[[#This Row],[Arrival Time]]&lt;=TIME(7,0,0), "Night", IF(EHR_Export[[#This Row],[Arrival Time]]&lt;TIME(15,0,0), "Day", "Evening"))</f>
        <v>Day</v>
      </c>
      <c r="P344" cm="1">
        <f t="array" ref="P3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45" spans="1:16" x14ac:dyDescent="0.25">
      <c r="A345" t="s">
        <v>923</v>
      </c>
      <c r="B345" s="1">
        <v>46062</v>
      </c>
      <c r="C345" s="4">
        <v>0.46666666666666667</v>
      </c>
      <c r="D345" t="s">
        <v>28</v>
      </c>
      <c r="E345" t="s">
        <v>23</v>
      </c>
      <c r="F345" t="s">
        <v>101</v>
      </c>
      <c r="G345">
        <v>49</v>
      </c>
      <c r="H345" t="s">
        <v>847</v>
      </c>
      <c r="I345" t="s">
        <v>25</v>
      </c>
      <c r="J345">
        <v>28</v>
      </c>
      <c r="K345">
        <v>26</v>
      </c>
      <c r="L345">
        <v>3.8</v>
      </c>
      <c r="M345" t="s">
        <v>14</v>
      </c>
      <c r="N345" s="2">
        <v>902.04</v>
      </c>
      <c r="O345" s="2" t="str">
        <f>IF(EHR_Export[[#This Row],[Arrival Time]]&lt;=TIME(7,0,0), "Night", IF(EHR_Export[[#This Row],[Arrival Time]]&lt;TIME(15,0,0), "Day", "Evening"))</f>
        <v>Day</v>
      </c>
      <c r="P345" cm="1">
        <f t="array" ref="P3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46" spans="1:16" x14ac:dyDescent="0.25">
      <c r="A346" t="s">
        <v>986</v>
      </c>
      <c r="B346" s="1">
        <v>46062</v>
      </c>
      <c r="C346" s="4">
        <v>0.34513888888888888</v>
      </c>
      <c r="D346" t="s">
        <v>28</v>
      </c>
      <c r="E346" t="s">
        <v>23</v>
      </c>
      <c r="F346" t="s">
        <v>165</v>
      </c>
      <c r="G346">
        <v>71</v>
      </c>
      <c r="H346" t="s">
        <v>849</v>
      </c>
      <c r="I346" t="s">
        <v>25</v>
      </c>
      <c r="J346">
        <v>53</v>
      </c>
      <c r="K346">
        <v>25</v>
      </c>
      <c r="L346">
        <v>4.3</v>
      </c>
      <c r="M346" t="s">
        <v>14</v>
      </c>
      <c r="N346" s="2">
        <v>491.03</v>
      </c>
      <c r="O346" s="2" t="str">
        <f>IF(EHR_Export[[#This Row],[Arrival Time]]&lt;=TIME(7,0,0), "Night", IF(EHR_Export[[#This Row],[Arrival Time]]&lt;TIME(15,0,0), "Day", "Evening"))</f>
        <v>Day</v>
      </c>
      <c r="P346" cm="1">
        <f t="array" ref="P3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47" spans="1:16" x14ac:dyDescent="0.25">
      <c r="A347" t="s">
        <v>1191</v>
      </c>
      <c r="B347" s="1">
        <v>46062</v>
      </c>
      <c r="C347" s="4">
        <v>0.37916666666666665</v>
      </c>
      <c r="D347" t="s">
        <v>21</v>
      </c>
      <c r="E347" t="s">
        <v>53</v>
      </c>
      <c r="F347" t="s">
        <v>370</v>
      </c>
      <c r="G347">
        <v>31</v>
      </c>
      <c r="H347" t="s">
        <v>849</v>
      </c>
      <c r="I347" t="s">
        <v>25</v>
      </c>
      <c r="J347">
        <v>44</v>
      </c>
      <c r="K347">
        <v>44</v>
      </c>
      <c r="L347">
        <v>3.5</v>
      </c>
      <c r="M347" t="s">
        <v>14</v>
      </c>
      <c r="N347" s="2">
        <v>313.92</v>
      </c>
      <c r="O347" s="2" t="str">
        <f>IF(EHR_Export[[#This Row],[Arrival Time]]&lt;=TIME(7,0,0), "Night", IF(EHR_Export[[#This Row],[Arrival Time]]&lt;TIME(15,0,0), "Day", "Evening"))</f>
        <v>Day</v>
      </c>
      <c r="P347" cm="1">
        <f t="array" ref="P3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48" spans="1:16" x14ac:dyDescent="0.25">
      <c r="A348" t="s">
        <v>1208</v>
      </c>
      <c r="B348" s="1">
        <v>46062</v>
      </c>
      <c r="C348" s="4">
        <v>0.55069444444444449</v>
      </c>
      <c r="D348" t="s">
        <v>58</v>
      </c>
      <c r="E348" t="s">
        <v>842</v>
      </c>
      <c r="F348" t="s">
        <v>387</v>
      </c>
      <c r="G348">
        <v>47</v>
      </c>
      <c r="H348" t="s">
        <v>847</v>
      </c>
      <c r="I348" t="s">
        <v>34</v>
      </c>
      <c r="J348">
        <v>30</v>
      </c>
      <c r="K348">
        <v>100</v>
      </c>
      <c r="M348" t="s">
        <v>14</v>
      </c>
      <c r="N348" s="2">
        <v>1475.36</v>
      </c>
      <c r="O348" s="2" t="str">
        <f>IF(EHR_Export[[#This Row],[Arrival Time]]&lt;=TIME(7,0,0), "Night", IF(EHR_Export[[#This Row],[Arrival Time]]&lt;TIME(15,0,0), "Day", "Evening"))</f>
        <v>Day</v>
      </c>
      <c r="P348" cm="1">
        <f t="array" ref="P3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349" spans="1:16" x14ac:dyDescent="0.25">
      <c r="A349" t="s">
        <v>1238</v>
      </c>
      <c r="B349" s="1">
        <v>46062</v>
      </c>
      <c r="C349" s="4">
        <v>0.97569444444444442</v>
      </c>
      <c r="D349" t="s">
        <v>28</v>
      </c>
      <c r="E349" t="s">
        <v>23</v>
      </c>
      <c r="F349" t="s">
        <v>417</v>
      </c>
      <c r="G349">
        <v>58</v>
      </c>
      <c r="H349" t="s">
        <v>847</v>
      </c>
      <c r="I349" t="s">
        <v>34</v>
      </c>
      <c r="J349">
        <v>52</v>
      </c>
      <c r="K349">
        <v>46</v>
      </c>
      <c r="L349">
        <v>2.6</v>
      </c>
      <c r="M349" t="s">
        <v>14</v>
      </c>
      <c r="N349" s="2">
        <v>889.71</v>
      </c>
      <c r="O349" s="2" t="str">
        <f>IF(EHR_Export[[#This Row],[Arrival Time]]&lt;=TIME(7,0,0), "Night", IF(EHR_Export[[#This Row],[Arrival Time]]&lt;TIME(15,0,0), "Day", "Evening"))</f>
        <v>Evening</v>
      </c>
      <c r="P349" cm="1">
        <f t="array" ref="P3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50" spans="1:16" x14ac:dyDescent="0.25">
      <c r="A350" t="s">
        <v>1241</v>
      </c>
      <c r="B350" s="1">
        <v>46062</v>
      </c>
      <c r="C350" s="4">
        <v>0.54166666666666663</v>
      </c>
      <c r="D350" t="s">
        <v>21</v>
      </c>
      <c r="E350" t="s">
        <v>53</v>
      </c>
      <c r="F350" t="s">
        <v>420</v>
      </c>
      <c r="G350">
        <v>49</v>
      </c>
      <c r="H350" t="s">
        <v>849</v>
      </c>
      <c r="I350" t="s">
        <v>13</v>
      </c>
      <c r="J350">
        <v>10</v>
      </c>
      <c r="K350">
        <v>46</v>
      </c>
      <c r="L350">
        <v>4.5</v>
      </c>
      <c r="M350" t="s">
        <v>14</v>
      </c>
      <c r="N350" s="2">
        <v>910.98</v>
      </c>
      <c r="O350" s="2" t="str">
        <f>IF(EHR_Export[[#This Row],[Arrival Time]]&lt;=TIME(7,0,0), "Night", IF(EHR_Export[[#This Row],[Arrival Time]]&lt;TIME(15,0,0), "Day", "Evening"))</f>
        <v>Day</v>
      </c>
      <c r="P350" cm="1">
        <f t="array" ref="P3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51" spans="1:16" x14ac:dyDescent="0.25">
      <c r="A351" t="s">
        <v>1473</v>
      </c>
      <c r="B351" s="1">
        <v>46062</v>
      </c>
      <c r="C351" s="4">
        <v>0.83819444444444446</v>
      </c>
      <c r="D351" t="s">
        <v>126</v>
      </c>
      <c r="E351" t="s">
        <v>46</v>
      </c>
      <c r="F351" t="s">
        <v>652</v>
      </c>
      <c r="G351">
        <v>46</v>
      </c>
      <c r="H351" t="s">
        <v>847</v>
      </c>
      <c r="I351" t="s">
        <v>38</v>
      </c>
      <c r="J351">
        <v>65</v>
      </c>
      <c r="K351">
        <v>42</v>
      </c>
      <c r="L351">
        <v>4.5</v>
      </c>
      <c r="M351" t="s">
        <v>14</v>
      </c>
      <c r="N351" s="2">
        <v>1710.25</v>
      </c>
      <c r="O351" s="2" t="str">
        <f>IF(EHR_Export[[#This Row],[Arrival Time]]&lt;=TIME(7,0,0), "Night", IF(EHR_Export[[#This Row],[Arrival Time]]&lt;TIME(15,0,0), "Day", "Evening"))</f>
        <v>Evening</v>
      </c>
      <c r="P351" cm="1">
        <f t="array" ref="P3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352" spans="1:16" x14ac:dyDescent="0.25">
      <c r="A352" t="s">
        <v>861</v>
      </c>
      <c r="B352" s="1">
        <v>46063</v>
      </c>
      <c r="C352" s="4">
        <v>0.4152777777777778</v>
      </c>
      <c r="D352" t="s">
        <v>28</v>
      </c>
      <c r="E352" t="s">
        <v>23</v>
      </c>
      <c r="F352" t="s">
        <v>32</v>
      </c>
      <c r="G352">
        <v>44</v>
      </c>
      <c r="H352" t="s">
        <v>849</v>
      </c>
      <c r="I352" t="s">
        <v>13</v>
      </c>
      <c r="J352">
        <v>58</v>
      </c>
      <c r="K352">
        <v>46</v>
      </c>
      <c r="L352">
        <v>3.8</v>
      </c>
      <c r="M352" t="s">
        <v>18</v>
      </c>
      <c r="N352" s="2">
        <v>728.56</v>
      </c>
      <c r="O352" s="2" t="str">
        <f>IF(EHR_Export[[#This Row],[Arrival Time]]&lt;=TIME(7,0,0), "Night", IF(EHR_Export[[#This Row],[Arrival Time]]&lt;TIME(15,0,0), "Day", "Evening"))</f>
        <v>Day</v>
      </c>
      <c r="P352" cm="1">
        <f t="array" ref="P3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53" spans="1:16" x14ac:dyDescent="0.25">
      <c r="A353" t="s">
        <v>1020</v>
      </c>
      <c r="B353" s="1">
        <v>46063</v>
      </c>
      <c r="C353" s="4">
        <v>0.71319444444444446</v>
      </c>
      <c r="D353" t="s">
        <v>21</v>
      </c>
      <c r="E353" t="s">
        <v>53</v>
      </c>
      <c r="F353" t="s">
        <v>199</v>
      </c>
      <c r="G353">
        <v>2</v>
      </c>
      <c r="H353" t="s">
        <v>849</v>
      </c>
      <c r="I353" t="s">
        <v>34</v>
      </c>
      <c r="J353">
        <v>74</v>
      </c>
      <c r="K353">
        <v>82</v>
      </c>
      <c r="L353">
        <v>3.4</v>
      </c>
      <c r="M353" t="s">
        <v>18</v>
      </c>
      <c r="N353" s="2">
        <v>816.15</v>
      </c>
      <c r="O353" s="2" t="str">
        <f>IF(EHR_Export[[#This Row],[Arrival Time]]&lt;=TIME(7,0,0), "Night", IF(EHR_Export[[#This Row],[Arrival Time]]&lt;TIME(15,0,0), "Day", "Evening"))</f>
        <v>Evening</v>
      </c>
      <c r="P353" cm="1">
        <f t="array" ref="P3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54" spans="1:16" x14ac:dyDescent="0.25">
      <c r="A354" t="s">
        <v>1045</v>
      </c>
      <c r="B354" s="1">
        <v>46063</v>
      </c>
      <c r="C354" s="4">
        <v>0.36041666666666666</v>
      </c>
      <c r="D354" t="s">
        <v>21</v>
      </c>
      <c r="E354" t="s">
        <v>53</v>
      </c>
      <c r="F354" t="s">
        <v>224</v>
      </c>
      <c r="G354">
        <v>57</v>
      </c>
      <c r="H354" t="s">
        <v>849</v>
      </c>
      <c r="I354" t="s">
        <v>38</v>
      </c>
      <c r="J354">
        <v>33</v>
      </c>
      <c r="K354">
        <v>51</v>
      </c>
      <c r="L354">
        <v>3.4</v>
      </c>
      <c r="M354" t="s">
        <v>14</v>
      </c>
      <c r="N354" s="2">
        <v>690.79</v>
      </c>
      <c r="O354" s="2" t="str">
        <f>IF(EHR_Export[[#This Row],[Arrival Time]]&lt;=TIME(7,0,0), "Night", IF(EHR_Export[[#This Row],[Arrival Time]]&lt;TIME(15,0,0), "Day", "Evening"))</f>
        <v>Day</v>
      </c>
      <c r="P354" cm="1">
        <f t="array" ref="P3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55" spans="1:16" x14ac:dyDescent="0.25">
      <c r="A355" t="s">
        <v>1194</v>
      </c>
      <c r="B355" s="1">
        <v>46063</v>
      </c>
      <c r="C355" s="4">
        <v>0.67222222222222228</v>
      </c>
      <c r="D355" t="s">
        <v>126</v>
      </c>
      <c r="E355" t="s">
        <v>46</v>
      </c>
      <c r="F355" t="s">
        <v>373</v>
      </c>
      <c r="G355">
        <v>60</v>
      </c>
      <c r="H355" t="s">
        <v>849</v>
      </c>
      <c r="I355" t="s">
        <v>34</v>
      </c>
      <c r="J355">
        <v>51</v>
      </c>
      <c r="K355">
        <v>37</v>
      </c>
      <c r="L355">
        <v>3.5</v>
      </c>
      <c r="M355" t="s">
        <v>14</v>
      </c>
      <c r="N355" s="2">
        <v>1657.64</v>
      </c>
      <c r="O355" s="2" t="str">
        <f>IF(EHR_Export[[#This Row],[Arrival Time]]&lt;=TIME(7,0,0), "Night", IF(EHR_Export[[#This Row],[Arrival Time]]&lt;TIME(15,0,0), "Day", "Evening"))</f>
        <v>Evening</v>
      </c>
      <c r="P355" cm="1">
        <f t="array" ref="P3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56" spans="1:16" x14ac:dyDescent="0.25">
      <c r="A356" t="s">
        <v>1407</v>
      </c>
      <c r="B356" s="1">
        <v>46063</v>
      </c>
      <c r="C356" s="4">
        <v>0.77500000000000002</v>
      </c>
      <c r="D356" t="s">
        <v>28</v>
      </c>
      <c r="E356" t="s">
        <v>23</v>
      </c>
      <c r="F356" t="s">
        <v>586</v>
      </c>
      <c r="G356">
        <v>34</v>
      </c>
      <c r="H356" t="s">
        <v>847</v>
      </c>
      <c r="I356" t="s">
        <v>34</v>
      </c>
      <c r="J356">
        <v>62</v>
      </c>
      <c r="K356">
        <v>22</v>
      </c>
      <c r="L356">
        <v>4.2</v>
      </c>
      <c r="M356" t="s">
        <v>14</v>
      </c>
      <c r="N356" s="2">
        <v>1146.46</v>
      </c>
      <c r="O356" s="2" t="str">
        <f>IF(EHR_Export[[#This Row],[Arrival Time]]&lt;=TIME(7,0,0), "Night", IF(EHR_Export[[#This Row],[Arrival Time]]&lt;TIME(15,0,0), "Day", "Evening"))</f>
        <v>Evening</v>
      </c>
      <c r="P356" cm="1">
        <f t="array" ref="P3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357" spans="1:16" x14ac:dyDescent="0.25">
      <c r="A357" t="s">
        <v>1469</v>
      </c>
      <c r="B357" s="1">
        <v>46063</v>
      </c>
      <c r="C357" s="4">
        <v>0.72013888888888888</v>
      </c>
      <c r="D357" t="s">
        <v>28</v>
      </c>
      <c r="E357" t="s">
        <v>23</v>
      </c>
      <c r="F357" t="s">
        <v>648</v>
      </c>
      <c r="G357">
        <v>71</v>
      </c>
      <c r="H357" t="s">
        <v>849</v>
      </c>
      <c r="I357" t="s">
        <v>38</v>
      </c>
      <c r="J357">
        <v>73</v>
      </c>
      <c r="K357">
        <v>51</v>
      </c>
      <c r="M357" t="s">
        <v>14</v>
      </c>
      <c r="N357" s="2">
        <v>477.91</v>
      </c>
      <c r="O357" s="2" t="str">
        <f>IF(EHR_Export[[#This Row],[Arrival Time]]&lt;=TIME(7,0,0), "Night", IF(EHR_Export[[#This Row],[Arrival Time]]&lt;TIME(15,0,0), "Day", "Evening"))</f>
        <v>Evening</v>
      </c>
      <c r="P357" cm="1">
        <f t="array" ref="P3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358" spans="1:16" x14ac:dyDescent="0.25">
      <c r="A358" t="s">
        <v>1581</v>
      </c>
      <c r="B358" s="1">
        <v>46063</v>
      </c>
      <c r="C358" s="4">
        <v>0.30416666666666664</v>
      </c>
      <c r="D358" t="s">
        <v>58</v>
      </c>
      <c r="E358" t="s">
        <v>842</v>
      </c>
      <c r="F358" t="s">
        <v>760</v>
      </c>
      <c r="G358">
        <v>58</v>
      </c>
      <c r="H358" t="s">
        <v>847</v>
      </c>
      <c r="I358" t="s">
        <v>13</v>
      </c>
      <c r="J358">
        <v>32</v>
      </c>
      <c r="K358">
        <v>115</v>
      </c>
      <c r="L358">
        <v>3.2</v>
      </c>
      <c r="M358" t="s">
        <v>14</v>
      </c>
      <c r="N358" s="2">
        <v>2587.88</v>
      </c>
      <c r="O358" s="2" t="str">
        <f>IF(EHR_Export[[#This Row],[Arrival Time]]&lt;=TIME(7,0,0), "Night", IF(EHR_Export[[#This Row],[Arrival Time]]&lt;TIME(15,0,0), "Day", "Evening"))</f>
        <v>Day</v>
      </c>
      <c r="P358" cm="1">
        <f t="array" ref="P3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359" spans="1:16" x14ac:dyDescent="0.25">
      <c r="A359" t="s">
        <v>858</v>
      </c>
      <c r="B359" s="1">
        <v>46064</v>
      </c>
      <c r="C359" s="4">
        <v>0.84722222222222221</v>
      </c>
      <c r="D359" t="s">
        <v>28</v>
      </c>
      <c r="E359" t="s">
        <v>23</v>
      </c>
      <c r="F359" t="s">
        <v>29</v>
      </c>
      <c r="G359">
        <v>57</v>
      </c>
      <c r="H359" t="s">
        <v>849</v>
      </c>
      <c r="I359" t="s">
        <v>38</v>
      </c>
      <c r="J359">
        <v>51</v>
      </c>
      <c r="K359">
        <v>46</v>
      </c>
      <c r="L359">
        <v>4.3</v>
      </c>
      <c r="M359" t="s">
        <v>14</v>
      </c>
      <c r="N359" s="2">
        <v>1049.42</v>
      </c>
      <c r="O359" s="2" t="str">
        <f>IF(EHR_Export[[#This Row],[Arrival Time]]&lt;=TIME(7,0,0), "Night", IF(EHR_Export[[#This Row],[Arrival Time]]&lt;TIME(15,0,0), "Day", "Evening"))</f>
        <v>Evening</v>
      </c>
      <c r="P359" cm="1">
        <f t="array" ref="P3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60" spans="1:16" x14ac:dyDescent="0.25">
      <c r="A360" t="s">
        <v>859</v>
      </c>
      <c r="B360" s="1">
        <v>46064</v>
      </c>
      <c r="C360" s="4">
        <v>0.84861111111111109</v>
      </c>
      <c r="D360" t="s">
        <v>21</v>
      </c>
      <c r="E360" t="s">
        <v>53</v>
      </c>
      <c r="F360" t="s">
        <v>30</v>
      </c>
      <c r="G360">
        <v>19</v>
      </c>
      <c r="H360" t="s">
        <v>849</v>
      </c>
      <c r="I360" t="s">
        <v>34</v>
      </c>
      <c r="J360">
        <v>40</v>
      </c>
      <c r="K360">
        <v>21</v>
      </c>
      <c r="L360">
        <v>4.5</v>
      </c>
      <c r="M360" t="s">
        <v>14</v>
      </c>
      <c r="N360" s="2">
        <v>599.97</v>
      </c>
      <c r="O360" s="2" t="str">
        <f>IF(EHR_Export[[#This Row],[Arrival Time]]&lt;=TIME(7,0,0), "Night", IF(EHR_Export[[#This Row],[Arrival Time]]&lt;TIME(15,0,0), "Day", "Evening"))</f>
        <v>Evening</v>
      </c>
      <c r="P360" cm="1">
        <f t="array" ref="P3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61" spans="1:16" x14ac:dyDescent="0.25">
      <c r="A361" t="s">
        <v>952</v>
      </c>
      <c r="B361" s="1">
        <v>46064</v>
      </c>
      <c r="C361" s="4">
        <v>0.69027777777777777</v>
      </c>
      <c r="D361" t="s">
        <v>28</v>
      </c>
      <c r="E361" t="s">
        <v>23</v>
      </c>
      <c r="F361" t="s">
        <v>131</v>
      </c>
      <c r="G361">
        <v>8</v>
      </c>
      <c r="H361" t="s">
        <v>849</v>
      </c>
      <c r="I361" t="s">
        <v>13</v>
      </c>
      <c r="J361">
        <v>44</v>
      </c>
      <c r="K361">
        <v>53</v>
      </c>
      <c r="L361">
        <v>4</v>
      </c>
      <c r="M361" t="s">
        <v>14</v>
      </c>
      <c r="N361" s="2">
        <v>520.34</v>
      </c>
      <c r="O361" s="2" t="str">
        <f>IF(EHR_Export[[#This Row],[Arrival Time]]&lt;=TIME(7,0,0), "Night", IF(EHR_Export[[#This Row],[Arrival Time]]&lt;TIME(15,0,0), "Day", "Evening"))</f>
        <v>Evening</v>
      </c>
      <c r="P361" cm="1">
        <f t="array" ref="P3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62" spans="1:16" x14ac:dyDescent="0.25">
      <c r="A362" t="s">
        <v>1036</v>
      </c>
      <c r="B362" s="1">
        <v>46064</v>
      </c>
      <c r="C362" s="4">
        <v>0.91041666666666665</v>
      </c>
      <c r="D362" t="s">
        <v>58</v>
      </c>
      <c r="E362" t="s">
        <v>842</v>
      </c>
      <c r="F362" t="s">
        <v>215</v>
      </c>
      <c r="G362">
        <v>68</v>
      </c>
      <c r="H362" t="s">
        <v>847</v>
      </c>
      <c r="I362" t="s">
        <v>38</v>
      </c>
      <c r="J362">
        <v>75</v>
      </c>
      <c r="K362">
        <v>91</v>
      </c>
      <c r="L362">
        <v>3.4</v>
      </c>
      <c r="M362" t="s">
        <v>14</v>
      </c>
      <c r="N362" s="2">
        <v>1988.29</v>
      </c>
      <c r="O362" s="2" t="str">
        <f>IF(EHR_Export[[#This Row],[Arrival Time]]&lt;=TIME(7,0,0), "Night", IF(EHR_Export[[#This Row],[Arrival Time]]&lt;TIME(15,0,0), "Day", "Evening"))</f>
        <v>Evening</v>
      </c>
      <c r="P362" cm="1">
        <f t="array" ref="P3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63" spans="1:16" x14ac:dyDescent="0.25">
      <c r="A363" t="s">
        <v>1043</v>
      </c>
      <c r="B363" s="1">
        <v>46064</v>
      </c>
      <c r="C363" s="4">
        <v>0.20069444444444445</v>
      </c>
      <c r="D363" t="s">
        <v>28</v>
      </c>
      <c r="E363" t="s">
        <v>23</v>
      </c>
      <c r="F363" t="s">
        <v>222</v>
      </c>
      <c r="G363">
        <v>34</v>
      </c>
      <c r="H363" t="s">
        <v>849</v>
      </c>
      <c r="I363" t="s">
        <v>13</v>
      </c>
      <c r="J363">
        <v>45</v>
      </c>
      <c r="K363">
        <v>47</v>
      </c>
      <c r="L363">
        <v>4.5999999999999996</v>
      </c>
      <c r="M363" t="s">
        <v>14</v>
      </c>
      <c r="N363" s="2">
        <v>887.74</v>
      </c>
      <c r="O363" s="2" t="str">
        <f>IF(EHR_Export[[#This Row],[Arrival Time]]&lt;=TIME(7,0,0), "Night", IF(EHR_Export[[#This Row],[Arrival Time]]&lt;TIME(15,0,0), "Day", "Evening"))</f>
        <v>Night</v>
      </c>
      <c r="P363" cm="1">
        <f t="array" ref="P3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64" spans="1:16" x14ac:dyDescent="0.25">
      <c r="A364" t="s">
        <v>1140</v>
      </c>
      <c r="B364" s="1">
        <v>46064</v>
      </c>
      <c r="C364" s="4">
        <v>0.71458333333333335</v>
      </c>
      <c r="D364" t="s">
        <v>28</v>
      </c>
      <c r="E364" t="s">
        <v>23</v>
      </c>
      <c r="F364" t="s">
        <v>319</v>
      </c>
      <c r="G364">
        <v>73</v>
      </c>
      <c r="H364" t="s">
        <v>849</v>
      </c>
      <c r="I364" t="s">
        <v>25</v>
      </c>
      <c r="J364">
        <v>62</v>
      </c>
      <c r="K364">
        <v>30</v>
      </c>
      <c r="M364" t="s">
        <v>14</v>
      </c>
      <c r="N364" s="2">
        <v>485.74</v>
      </c>
      <c r="O364" s="2" t="str">
        <f>IF(EHR_Export[[#This Row],[Arrival Time]]&lt;=TIME(7,0,0), "Night", IF(EHR_Export[[#This Row],[Arrival Time]]&lt;TIME(15,0,0), "Day", "Evening"))</f>
        <v>Evening</v>
      </c>
      <c r="P364" cm="1">
        <f t="array" ref="P3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65" spans="1:16" x14ac:dyDescent="0.25">
      <c r="A365" t="s">
        <v>1187</v>
      </c>
      <c r="B365" s="1">
        <v>46064</v>
      </c>
      <c r="C365" s="4">
        <v>0.67222222222222228</v>
      </c>
      <c r="D365" t="s">
        <v>58</v>
      </c>
      <c r="E365" t="s">
        <v>842</v>
      </c>
      <c r="F365" t="s">
        <v>366</v>
      </c>
      <c r="G365">
        <v>43</v>
      </c>
      <c r="H365" t="s">
        <v>847</v>
      </c>
      <c r="I365" t="s">
        <v>38</v>
      </c>
      <c r="J365">
        <v>105</v>
      </c>
      <c r="K365">
        <v>112</v>
      </c>
      <c r="L365">
        <v>1.9</v>
      </c>
      <c r="M365" t="s">
        <v>14</v>
      </c>
      <c r="N365" s="2">
        <v>2096.75</v>
      </c>
      <c r="O365" s="2" t="str">
        <f>IF(EHR_Export[[#This Row],[Arrival Time]]&lt;=TIME(7,0,0), "Night", IF(EHR_Export[[#This Row],[Arrival Time]]&lt;TIME(15,0,0), "Day", "Evening"))</f>
        <v>Evening</v>
      </c>
      <c r="P365" cm="1">
        <f t="array" ref="P3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66" spans="1:16" x14ac:dyDescent="0.25">
      <c r="A366" t="s">
        <v>1245</v>
      </c>
      <c r="B366" s="1">
        <v>46064</v>
      </c>
      <c r="C366" s="4">
        <v>0.72361111111111109</v>
      </c>
      <c r="D366" t="s">
        <v>126</v>
      </c>
      <c r="E366" t="s">
        <v>46</v>
      </c>
      <c r="F366" t="s">
        <v>424</v>
      </c>
      <c r="G366">
        <v>43</v>
      </c>
      <c r="H366" t="s">
        <v>849</v>
      </c>
      <c r="I366" t="s">
        <v>25</v>
      </c>
      <c r="J366">
        <v>44</v>
      </c>
      <c r="K366">
        <v>48</v>
      </c>
      <c r="L366">
        <v>3.5</v>
      </c>
      <c r="M366" t="s">
        <v>14</v>
      </c>
      <c r="N366" s="2">
        <v>2391.52</v>
      </c>
      <c r="O366" s="2" t="str">
        <f>IF(EHR_Export[[#This Row],[Arrival Time]]&lt;=TIME(7,0,0), "Night", IF(EHR_Export[[#This Row],[Arrival Time]]&lt;TIME(15,0,0), "Day", "Evening"))</f>
        <v>Evening</v>
      </c>
      <c r="P366" cm="1">
        <f t="array" ref="P3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67" spans="1:16" x14ac:dyDescent="0.25">
      <c r="A367" t="s">
        <v>858</v>
      </c>
      <c r="B367" s="1">
        <v>46064</v>
      </c>
      <c r="C367" s="4">
        <v>0.84722222222222221</v>
      </c>
      <c r="D367" t="s">
        <v>28</v>
      </c>
      <c r="E367" t="s">
        <v>23</v>
      </c>
      <c r="F367" t="s">
        <v>29</v>
      </c>
      <c r="G367">
        <v>57</v>
      </c>
      <c r="H367" t="s">
        <v>849</v>
      </c>
      <c r="I367" t="s">
        <v>38</v>
      </c>
      <c r="J367">
        <v>51</v>
      </c>
      <c r="K367">
        <v>46</v>
      </c>
      <c r="L367">
        <v>4.3</v>
      </c>
      <c r="M367" t="s">
        <v>14</v>
      </c>
      <c r="N367" s="2">
        <v>1049.42</v>
      </c>
      <c r="O367" s="2" t="str">
        <f>IF(EHR_Export[[#This Row],[Arrival Time]]&lt;=TIME(7,0,0), "Night", IF(EHR_Export[[#This Row],[Arrival Time]]&lt;TIME(15,0,0), "Day", "Evening"))</f>
        <v>Evening</v>
      </c>
      <c r="P367" cm="1">
        <f t="array" ref="P3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368" spans="1:16" x14ac:dyDescent="0.25">
      <c r="A368" t="s">
        <v>1327</v>
      </c>
      <c r="B368" s="1">
        <v>46064</v>
      </c>
      <c r="C368" s="4">
        <v>0.45555555555555555</v>
      </c>
      <c r="D368" t="s">
        <v>28</v>
      </c>
      <c r="E368" t="s">
        <v>23</v>
      </c>
      <c r="F368" t="s">
        <v>506</v>
      </c>
      <c r="G368">
        <v>150</v>
      </c>
      <c r="H368" t="s">
        <v>849</v>
      </c>
      <c r="I368" t="s">
        <v>34</v>
      </c>
      <c r="J368">
        <v>54</v>
      </c>
      <c r="K368">
        <v>40</v>
      </c>
      <c r="L368">
        <v>3.6</v>
      </c>
      <c r="M368" t="s">
        <v>14</v>
      </c>
      <c r="N368" s="2">
        <v>729.41</v>
      </c>
      <c r="O368" s="2" t="str">
        <f>IF(EHR_Export[[#This Row],[Arrival Time]]&lt;=TIME(7,0,0), "Night", IF(EHR_Export[[#This Row],[Arrival Time]]&lt;TIME(15,0,0), "Day", "Evening"))</f>
        <v>Day</v>
      </c>
      <c r="P368" cm="1">
        <f t="array" ref="P3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69" spans="1:16" x14ac:dyDescent="0.25">
      <c r="A369" t="s">
        <v>1335</v>
      </c>
      <c r="B369" s="1">
        <v>46064</v>
      </c>
      <c r="C369" s="4">
        <v>0.38472222222222224</v>
      </c>
      <c r="D369" t="s">
        <v>48</v>
      </c>
      <c r="E369" t="s">
        <v>42</v>
      </c>
      <c r="F369" t="s">
        <v>514</v>
      </c>
      <c r="G369">
        <v>16</v>
      </c>
      <c r="H369" t="s">
        <v>849</v>
      </c>
      <c r="I369" t="s">
        <v>34</v>
      </c>
      <c r="J369">
        <v>67</v>
      </c>
      <c r="K369">
        <v>33</v>
      </c>
      <c r="M369" t="s">
        <v>14</v>
      </c>
      <c r="N369" s="2">
        <v>1737.84</v>
      </c>
      <c r="O369" s="2" t="str">
        <f>IF(EHR_Export[[#This Row],[Arrival Time]]&lt;=TIME(7,0,0), "Night", IF(EHR_Export[[#This Row],[Arrival Time]]&lt;TIME(15,0,0), "Day", "Evening"))</f>
        <v>Day</v>
      </c>
      <c r="P369" cm="1">
        <f t="array" ref="P3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70" spans="1:16" x14ac:dyDescent="0.25">
      <c r="A370" t="s">
        <v>938</v>
      </c>
      <c r="B370" s="1">
        <v>46065</v>
      </c>
      <c r="C370" s="4">
        <v>0.75347222222222221</v>
      </c>
      <c r="D370" t="s">
        <v>28</v>
      </c>
      <c r="E370" t="s">
        <v>23</v>
      </c>
      <c r="F370" t="s">
        <v>116</v>
      </c>
      <c r="G370">
        <v>4</v>
      </c>
      <c r="H370" t="s">
        <v>847</v>
      </c>
      <c r="I370" t="s">
        <v>25</v>
      </c>
      <c r="J370">
        <v>61</v>
      </c>
      <c r="K370">
        <v>11</v>
      </c>
      <c r="L370">
        <v>3.4</v>
      </c>
      <c r="M370" t="s">
        <v>14</v>
      </c>
      <c r="N370" s="2">
        <v>785.61</v>
      </c>
      <c r="O370" s="2" t="str">
        <f>IF(EHR_Export[[#This Row],[Arrival Time]]&lt;=TIME(7,0,0), "Night", IF(EHR_Export[[#This Row],[Arrival Time]]&lt;TIME(15,0,0), "Day", "Evening"))</f>
        <v>Evening</v>
      </c>
      <c r="P370" cm="1">
        <f t="array" ref="P3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371" spans="1:16" x14ac:dyDescent="0.25">
      <c r="A371" t="s">
        <v>1112</v>
      </c>
      <c r="B371" s="1">
        <v>46065</v>
      </c>
      <c r="C371" s="4">
        <v>0.81736111111111109</v>
      </c>
      <c r="D371" t="s">
        <v>28</v>
      </c>
      <c r="E371" t="s">
        <v>23</v>
      </c>
      <c r="F371" t="s">
        <v>291</v>
      </c>
      <c r="G371">
        <v>19</v>
      </c>
      <c r="H371" t="s">
        <v>847</v>
      </c>
      <c r="I371" t="s">
        <v>34</v>
      </c>
      <c r="J371">
        <v>40</v>
      </c>
      <c r="K371">
        <v>36</v>
      </c>
      <c r="L371">
        <v>5</v>
      </c>
      <c r="M371" t="s">
        <v>14</v>
      </c>
      <c r="N371" s="2">
        <v>694.57</v>
      </c>
      <c r="O371" s="2" t="str">
        <f>IF(EHR_Export[[#This Row],[Arrival Time]]&lt;=TIME(7,0,0), "Night", IF(EHR_Export[[#This Row],[Arrival Time]]&lt;TIME(15,0,0), "Day", "Evening"))</f>
        <v>Evening</v>
      </c>
      <c r="P371" cm="1">
        <f t="array" ref="P3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372" spans="1:16" x14ac:dyDescent="0.25">
      <c r="A372" t="s">
        <v>1172</v>
      </c>
      <c r="B372" s="1">
        <v>46065</v>
      </c>
      <c r="C372" s="4">
        <v>0.25138888888888888</v>
      </c>
      <c r="D372" t="s">
        <v>28</v>
      </c>
      <c r="E372" t="s">
        <v>23</v>
      </c>
      <c r="F372" t="s">
        <v>351</v>
      </c>
      <c r="G372">
        <v>29</v>
      </c>
      <c r="H372" t="s">
        <v>847</v>
      </c>
      <c r="I372" t="s">
        <v>25</v>
      </c>
      <c r="J372">
        <v>43</v>
      </c>
      <c r="K372">
        <v>10</v>
      </c>
      <c r="L372">
        <v>3.3</v>
      </c>
      <c r="M372" t="s">
        <v>14</v>
      </c>
      <c r="N372" s="2">
        <v>1303.6300000000001</v>
      </c>
      <c r="O372" s="2" t="str">
        <f>IF(EHR_Export[[#This Row],[Arrival Time]]&lt;=TIME(7,0,0), "Night", IF(EHR_Export[[#This Row],[Arrival Time]]&lt;TIME(15,0,0), "Day", "Evening"))</f>
        <v>Night</v>
      </c>
      <c r="P372" cm="1">
        <f t="array" ref="P3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73" spans="1:16" x14ac:dyDescent="0.25">
      <c r="A373" t="s">
        <v>1181</v>
      </c>
      <c r="B373" s="1">
        <v>46065</v>
      </c>
      <c r="C373" s="4">
        <v>0.7993055555555556</v>
      </c>
      <c r="D373" t="s">
        <v>28</v>
      </c>
      <c r="E373" t="s">
        <v>23</v>
      </c>
      <c r="F373" t="s">
        <v>360</v>
      </c>
      <c r="G373">
        <v>20</v>
      </c>
      <c r="H373" t="s">
        <v>847</v>
      </c>
      <c r="I373" t="s">
        <v>34</v>
      </c>
      <c r="J373">
        <v>41</v>
      </c>
      <c r="K373">
        <v>30</v>
      </c>
      <c r="L373">
        <v>3.4</v>
      </c>
      <c r="M373" t="s">
        <v>14</v>
      </c>
      <c r="N373" s="2">
        <v>1107.31</v>
      </c>
      <c r="O373" s="2" t="str">
        <f>IF(EHR_Export[[#This Row],[Arrival Time]]&lt;=TIME(7,0,0), "Night", IF(EHR_Export[[#This Row],[Arrival Time]]&lt;TIME(15,0,0), "Day", "Evening"))</f>
        <v>Evening</v>
      </c>
      <c r="P373" cm="1">
        <f t="array" ref="P3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374" spans="1:16" x14ac:dyDescent="0.25">
      <c r="A374" t="s">
        <v>1203</v>
      </c>
      <c r="B374" s="1">
        <v>46065</v>
      </c>
      <c r="C374" s="4">
        <v>0.69930555555555551</v>
      </c>
      <c r="D374" t="s">
        <v>21</v>
      </c>
      <c r="E374" t="s">
        <v>53</v>
      </c>
      <c r="F374" t="s">
        <v>382</v>
      </c>
      <c r="G374">
        <v>66</v>
      </c>
      <c r="H374" t="s">
        <v>847</v>
      </c>
      <c r="I374" t="s">
        <v>13</v>
      </c>
      <c r="J374">
        <v>54</v>
      </c>
      <c r="K374">
        <v>55</v>
      </c>
      <c r="L374">
        <v>2.8</v>
      </c>
      <c r="M374" t="s">
        <v>14</v>
      </c>
      <c r="N374" s="2">
        <v>715.34</v>
      </c>
      <c r="O374" s="2" t="str">
        <f>IF(EHR_Export[[#This Row],[Arrival Time]]&lt;=TIME(7,0,0), "Night", IF(EHR_Export[[#This Row],[Arrival Time]]&lt;TIME(15,0,0), "Day", "Evening"))</f>
        <v>Evening</v>
      </c>
      <c r="P374" cm="1">
        <f t="array" ref="P3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75" spans="1:16" x14ac:dyDescent="0.25">
      <c r="A375" t="s">
        <v>1285</v>
      </c>
      <c r="B375" s="1">
        <v>46065</v>
      </c>
      <c r="C375" s="4">
        <v>0.21736111111111112</v>
      </c>
      <c r="D375" t="s">
        <v>126</v>
      </c>
      <c r="E375" t="s">
        <v>46</v>
      </c>
      <c r="F375" t="s">
        <v>464</v>
      </c>
      <c r="G375">
        <v>67</v>
      </c>
      <c r="H375" t="s">
        <v>849</v>
      </c>
      <c r="I375" t="s">
        <v>25</v>
      </c>
      <c r="J375">
        <v>6</v>
      </c>
      <c r="K375">
        <v>93</v>
      </c>
      <c r="L375">
        <v>3.1</v>
      </c>
      <c r="M375" t="s">
        <v>14</v>
      </c>
      <c r="N375" s="2">
        <v>1417.11</v>
      </c>
      <c r="O375" s="2" t="str">
        <f>IF(EHR_Export[[#This Row],[Arrival Time]]&lt;=TIME(7,0,0), "Night", IF(EHR_Export[[#This Row],[Arrival Time]]&lt;TIME(15,0,0), "Day", "Evening"))</f>
        <v>Night</v>
      </c>
      <c r="P375" cm="1">
        <f t="array" ref="P3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76" spans="1:16" x14ac:dyDescent="0.25">
      <c r="A376" t="s">
        <v>1306</v>
      </c>
      <c r="B376" s="1">
        <v>46065</v>
      </c>
      <c r="C376" s="4">
        <v>0.5395833333333333</v>
      </c>
      <c r="D376" t="s">
        <v>21</v>
      </c>
      <c r="E376" t="s">
        <v>53</v>
      </c>
      <c r="F376" t="s">
        <v>485</v>
      </c>
      <c r="G376">
        <v>62</v>
      </c>
      <c r="H376" t="s">
        <v>847</v>
      </c>
      <c r="I376" t="s">
        <v>25</v>
      </c>
      <c r="J376">
        <v>20</v>
      </c>
      <c r="K376">
        <v>31</v>
      </c>
      <c r="L376">
        <v>3.4</v>
      </c>
      <c r="M376" t="s">
        <v>18</v>
      </c>
      <c r="N376" s="2">
        <v>778.64</v>
      </c>
      <c r="O376" s="2" t="str">
        <f>IF(EHR_Export[[#This Row],[Arrival Time]]&lt;=TIME(7,0,0), "Night", IF(EHR_Export[[#This Row],[Arrival Time]]&lt;TIME(15,0,0), "Day", "Evening"))</f>
        <v>Day</v>
      </c>
      <c r="P376" cm="1">
        <f t="array" ref="P3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77" spans="1:16" x14ac:dyDescent="0.25">
      <c r="A377" t="s">
        <v>1309</v>
      </c>
      <c r="B377" s="1">
        <v>46065</v>
      </c>
      <c r="C377" s="4">
        <v>0.6430555555555556</v>
      </c>
      <c r="D377" t="s">
        <v>28</v>
      </c>
      <c r="E377" t="s">
        <v>23</v>
      </c>
      <c r="F377" t="s">
        <v>488</v>
      </c>
      <c r="G377">
        <v>31</v>
      </c>
      <c r="H377" t="s">
        <v>849</v>
      </c>
      <c r="I377" t="s">
        <v>38</v>
      </c>
      <c r="J377">
        <v>13</v>
      </c>
      <c r="K377">
        <v>55</v>
      </c>
      <c r="L377">
        <v>3.8</v>
      </c>
      <c r="M377" t="s">
        <v>18</v>
      </c>
      <c r="N377" s="2">
        <v>1116.8800000000001</v>
      </c>
      <c r="O377" s="2" t="str">
        <f>IF(EHR_Export[[#This Row],[Arrival Time]]&lt;=TIME(7,0,0), "Night", IF(EHR_Export[[#This Row],[Arrival Time]]&lt;TIME(15,0,0), "Day", "Evening"))</f>
        <v>Evening</v>
      </c>
      <c r="P377" cm="1">
        <f t="array" ref="P3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378" spans="1:16" x14ac:dyDescent="0.25">
      <c r="A378" t="s">
        <v>1323</v>
      </c>
      <c r="B378" s="1">
        <v>46065</v>
      </c>
      <c r="C378" s="4">
        <v>0.79374999999999996</v>
      </c>
      <c r="D378" t="s">
        <v>58</v>
      </c>
      <c r="E378" t="s">
        <v>842</v>
      </c>
      <c r="F378" t="s">
        <v>502</v>
      </c>
      <c r="G378">
        <v>39</v>
      </c>
      <c r="H378" t="s">
        <v>849</v>
      </c>
      <c r="I378" t="s">
        <v>34</v>
      </c>
      <c r="J378">
        <v>69</v>
      </c>
      <c r="K378">
        <v>75</v>
      </c>
      <c r="L378">
        <v>3.5</v>
      </c>
      <c r="M378" t="s">
        <v>14</v>
      </c>
      <c r="N378" s="2">
        <v>3339.8</v>
      </c>
      <c r="O378" s="2" t="str">
        <f>IF(EHR_Export[[#This Row],[Arrival Time]]&lt;=TIME(7,0,0), "Night", IF(EHR_Export[[#This Row],[Arrival Time]]&lt;TIME(15,0,0), "Day", "Evening"))</f>
        <v>Evening</v>
      </c>
      <c r="P378" cm="1">
        <f t="array" ref="P3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79" spans="1:16" x14ac:dyDescent="0.25">
      <c r="A379" t="s">
        <v>1454</v>
      </c>
      <c r="B379" s="1">
        <v>46065</v>
      </c>
      <c r="C379" s="4">
        <v>0.55555555555555558</v>
      </c>
      <c r="D379" t="s">
        <v>21</v>
      </c>
      <c r="E379" t="s">
        <v>53</v>
      </c>
      <c r="F379" t="s">
        <v>633</v>
      </c>
      <c r="G379">
        <v>37</v>
      </c>
      <c r="H379" t="s">
        <v>847</v>
      </c>
      <c r="I379" t="s">
        <v>34</v>
      </c>
      <c r="J379">
        <v>18</v>
      </c>
      <c r="K379">
        <v>24</v>
      </c>
      <c r="L379">
        <v>3.5</v>
      </c>
      <c r="M379" t="s">
        <v>14</v>
      </c>
      <c r="N379" s="2">
        <v>609.67999999999995</v>
      </c>
      <c r="O379" s="2" t="str">
        <f>IF(EHR_Export[[#This Row],[Arrival Time]]&lt;=TIME(7,0,0), "Night", IF(EHR_Export[[#This Row],[Arrival Time]]&lt;TIME(15,0,0), "Day", "Evening"))</f>
        <v>Day</v>
      </c>
      <c r="P379" cm="1">
        <f t="array" ref="P3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80" spans="1:16" x14ac:dyDescent="0.25">
      <c r="A380" t="s">
        <v>1458</v>
      </c>
      <c r="B380" s="1">
        <v>46065</v>
      </c>
      <c r="C380" s="4">
        <v>0.8125</v>
      </c>
      <c r="D380" t="s">
        <v>28</v>
      </c>
      <c r="E380" t="s">
        <v>23</v>
      </c>
      <c r="F380" t="s">
        <v>637</v>
      </c>
      <c r="G380">
        <v>1</v>
      </c>
      <c r="H380" t="s">
        <v>849</v>
      </c>
      <c r="I380" t="s">
        <v>25</v>
      </c>
      <c r="J380">
        <v>43</v>
      </c>
      <c r="K380">
        <v>51</v>
      </c>
      <c r="L380">
        <v>4</v>
      </c>
      <c r="M380" t="s">
        <v>18</v>
      </c>
      <c r="N380" s="2">
        <v>802.11</v>
      </c>
      <c r="O380" s="2" t="str">
        <f>IF(EHR_Export[[#This Row],[Arrival Time]]&lt;=TIME(7,0,0), "Night", IF(EHR_Export[[#This Row],[Arrival Time]]&lt;TIME(15,0,0), "Day", "Evening"))</f>
        <v>Evening</v>
      </c>
      <c r="P380" cm="1">
        <f t="array" ref="P3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381" spans="1:16" x14ac:dyDescent="0.25">
      <c r="A381" t="s">
        <v>873</v>
      </c>
      <c r="B381" s="1">
        <v>46066</v>
      </c>
      <c r="C381" s="4">
        <v>0.93263888888888891</v>
      </c>
      <c r="D381" t="s">
        <v>48</v>
      </c>
      <c r="E381" t="s">
        <v>42</v>
      </c>
      <c r="F381" t="s">
        <v>49</v>
      </c>
      <c r="G381">
        <v>31</v>
      </c>
      <c r="H381" t="s">
        <v>847</v>
      </c>
      <c r="I381" t="s">
        <v>25</v>
      </c>
      <c r="J381">
        <v>90</v>
      </c>
      <c r="K381">
        <v>67</v>
      </c>
      <c r="L381">
        <v>3.9</v>
      </c>
      <c r="M381" t="s">
        <v>14</v>
      </c>
      <c r="N381" s="2">
        <v>1577.86</v>
      </c>
      <c r="O381" s="2" t="str">
        <f>IF(EHR_Export[[#This Row],[Arrival Time]]&lt;=TIME(7,0,0), "Night", IF(EHR_Export[[#This Row],[Arrival Time]]&lt;TIME(15,0,0), "Day", "Evening"))</f>
        <v>Evening</v>
      </c>
      <c r="P381" cm="1">
        <f t="array" ref="P3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82" spans="1:16" x14ac:dyDescent="0.25">
      <c r="A382" t="s">
        <v>1033</v>
      </c>
      <c r="B382" s="1">
        <v>46066</v>
      </c>
      <c r="C382" s="4">
        <v>0.31666666666666665</v>
      </c>
      <c r="D382" t="s">
        <v>21</v>
      </c>
      <c r="E382" t="s">
        <v>53</v>
      </c>
      <c r="F382" t="s">
        <v>212</v>
      </c>
      <c r="G382">
        <v>64</v>
      </c>
      <c r="H382" t="s">
        <v>849</v>
      </c>
      <c r="I382" t="s">
        <v>25</v>
      </c>
      <c r="J382">
        <v>19</v>
      </c>
      <c r="K382">
        <v>72</v>
      </c>
      <c r="L382">
        <v>3.5</v>
      </c>
      <c r="M382" t="s">
        <v>14</v>
      </c>
      <c r="N382" s="2">
        <v>851.52</v>
      </c>
      <c r="O382" s="2" t="str">
        <f>IF(EHR_Export[[#This Row],[Arrival Time]]&lt;=TIME(7,0,0), "Night", IF(EHR_Export[[#This Row],[Arrival Time]]&lt;TIME(15,0,0), "Day", "Evening"))</f>
        <v>Day</v>
      </c>
      <c r="P382" cm="1">
        <f t="array" ref="P3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83" spans="1:16" x14ac:dyDescent="0.25">
      <c r="A383" t="s">
        <v>1126</v>
      </c>
      <c r="B383" s="1">
        <v>46066</v>
      </c>
      <c r="C383" s="4">
        <v>0.57638888888888884</v>
      </c>
      <c r="D383" t="s">
        <v>21</v>
      </c>
      <c r="E383" t="s">
        <v>53</v>
      </c>
      <c r="F383" t="s">
        <v>305</v>
      </c>
      <c r="G383">
        <v>61</v>
      </c>
      <c r="H383" t="s">
        <v>847</v>
      </c>
      <c r="I383" t="s">
        <v>25</v>
      </c>
      <c r="J383">
        <v>43</v>
      </c>
      <c r="K383">
        <v>64</v>
      </c>
      <c r="L383">
        <v>5</v>
      </c>
      <c r="M383" t="s">
        <v>14</v>
      </c>
      <c r="N383" s="2">
        <v>668.27</v>
      </c>
      <c r="O383" s="2" t="str">
        <f>IF(EHR_Export[[#This Row],[Arrival Time]]&lt;=TIME(7,0,0), "Night", IF(EHR_Export[[#This Row],[Arrival Time]]&lt;TIME(15,0,0), "Day", "Evening"))</f>
        <v>Day</v>
      </c>
      <c r="P383" cm="1">
        <f t="array" ref="P3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84" spans="1:16" x14ac:dyDescent="0.25">
      <c r="A384" t="s">
        <v>1160</v>
      </c>
      <c r="B384" s="1">
        <v>46066</v>
      </c>
      <c r="C384" s="4">
        <v>0.78125</v>
      </c>
      <c r="D384" t="s">
        <v>58</v>
      </c>
      <c r="E384" t="s">
        <v>842</v>
      </c>
      <c r="F384" t="s">
        <v>339</v>
      </c>
      <c r="G384">
        <v>69</v>
      </c>
      <c r="H384" t="s">
        <v>849</v>
      </c>
      <c r="I384" t="s">
        <v>25</v>
      </c>
      <c r="J384">
        <v>76</v>
      </c>
      <c r="K384">
        <v>101</v>
      </c>
      <c r="L384">
        <v>2.8</v>
      </c>
      <c r="M384" t="s">
        <v>14</v>
      </c>
      <c r="N384" s="2">
        <v>2906.56</v>
      </c>
      <c r="O384" s="2" t="str">
        <f>IF(EHR_Export[[#This Row],[Arrival Time]]&lt;=TIME(7,0,0), "Night", IF(EHR_Export[[#This Row],[Arrival Time]]&lt;TIME(15,0,0), "Day", "Evening"))</f>
        <v>Evening</v>
      </c>
      <c r="P384" cm="1">
        <f t="array" ref="P3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85" spans="1:16" x14ac:dyDescent="0.25">
      <c r="A385" t="s">
        <v>1253</v>
      </c>
      <c r="B385" s="1">
        <v>46066</v>
      </c>
      <c r="C385" s="4">
        <v>7.9861111111111105E-2</v>
      </c>
      <c r="D385" t="s">
        <v>28</v>
      </c>
      <c r="E385" t="s">
        <v>23</v>
      </c>
      <c r="F385" t="s">
        <v>432</v>
      </c>
      <c r="G385">
        <v>42</v>
      </c>
      <c r="H385" t="s">
        <v>849</v>
      </c>
      <c r="I385" t="s">
        <v>13</v>
      </c>
      <c r="J385">
        <v>46</v>
      </c>
      <c r="K385">
        <v>80</v>
      </c>
      <c r="L385">
        <v>4.4000000000000004</v>
      </c>
      <c r="M385" t="s">
        <v>14</v>
      </c>
      <c r="N385" s="2">
        <v>653.1</v>
      </c>
      <c r="O385" s="2" t="str">
        <f>IF(EHR_Export[[#This Row],[Arrival Time]]&lt;=TIME(7,0,0), "Night", IF(EHR_Export[[#This Row],[Arrival Time]]&lt;TIME(15,0,0), "Day", "Evening"))</f>
        <v>Night</v>
      </c>
      <c r="P385" cm="1">
        <f t="array" ref="P3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86" spans="1:16" x14ac:dyDescent="0.25">
      <c r="A386" t="s">
        <v>873</v>
      </c>
      <c r="B386" s="1">
        <v>46066</v>
      </c>
      <c r="C386" s="4">
        <v>0.93263888888888891</v>
      </c>
      <c r="D386" t="s">
        <v>48</v>
      </c>
      <c r="E386" t="s">
        <v>42</v>
      </c>
      <c r="F386" t="s">
        <v>49</v>
      </c>
      <c r="G386">
        <v>31</v>
      </c>
      <c r="H386" t="s">
        <v>847</v>
      </c>
      <c r="I386" t="s">
        <v>25</v>
      </c>
      <c r="J386">
        <v>90</v>
      </c>
      <c r="K386">
        <v>67</v>
      </c>
      <c r="L386">
        <v>3.9</v>
      </c>
      <c r="M386" t="s">
        <v>14</v>
      </c>
      <c r="N386" s="2">
        <v>1577.86</v>
      </c>
      <c r="O386" s="2" t="str">
        <f>IF(EHR_Export[[#This Row],[Arrival Time]]&lt;=TIME(7,0,0), "Night", IF(EHR_Export[[#This Row],[Arrival Time]]&lt;TIME(15,0,0), "Day", "Evening"))</f>
        <v>Evening</v>
      </c>
      <c r="P386" cm="1">
        <f t="array" ref="P3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87" spans="1:16" x14ac:dyDescent="0.25">
      <c r="A387" t="s">
        <v>1437</v>
      </c>
      <c r="B387" s="1">
        <v>46066</v>
      </c>
      <c r="C387" s="4">
        <v>0.60416666666666663</v>
      </c>
      <c r="D387" t="s">
        <v>21</v>
      </c>
      <c r="E387" t="s">
        <v>53</v>
      </c>
      <c r="F387" t="s">
        <v>616</v>
      </c>
      <c r="G387">
        <v>64</v>
      </c>
      <c r="H387" t="s">
        <v>849</v>
      </c>
      <c r="I387" t="s">
        <v>38</v>
      </c>
      <c r="J387">
        <v>21</v>
      </c>
      <c r="K387">
        <v>38</v>
      </c>
      <c r="L387">
        <v>2.4</v>
      </c>
      <c r="M387" t="s">
        <v>14</v>
      </c>
      <c r="N387" s="2">
        <v>546.84</v>
      </c>
      <c r="O387" s="2" t="str">
        <f>IF(EHR_Export[[#This Row],[Arrival Time]]&lt;=TIME(7,0,0), "Night", IF(EHR_Export[[#This Row],[Arrival Time]]&lt;TIME(15,0,0), "Day", "Evening"))</f>
        <v>Day</v>
      </c>
      <c r="P387" cm="1">
        <f t="array" ref="P3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388" spans="1:16" x14ac:dyDescent="0.25">
      <c r="A388" t="s">
        <v>1503</v>
      </c>
      <c r="B388" s="1">
        <v>46066</v>
      </c>
      <c r="C388" s="4">
        <v>0.60277777777777775</v>
      </c>
      <c r="D388" t="s">
        <v>28</v>
      </c>
      <c r="E388" t="s">
        <v>23</v>
      </c>
      <c r="F388" t="s">
        <v>682</v>
      </c>
      <c r="G388">
        <v>35</v>
      </c>
      <c r="H388" t="s">
        <v>849</v>
      </c>
      <c r="I388" t="s">
        <v>34</v>
      </c>
      <c r="J388">
        <v>14</v>
      </c>
      <c r="K388">
        <v>21</v>
      </c>
      <c r="L388">
        <v>3.9</v>
      </c>
      <c r="M388" t="s">
        <v>14</v>
      </c>
      <c r="N388" s="2">
        <v>727.76</v>
      </c>
      <c r="O388" s="2" t="str">
        <f>IF(EHR_Export[[#This Row],[Arrival Time]]&lt;=TIME(7,0,0), "Night", IF(EHR_Export[[#This Row],[Arrival Time]]&lt;TIME(15,0,0), "Day", "Evening"))</f>
        <v>Day</v>
      </c>
      <c r="P388" cm="1">
        <f t="array" ref="P3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89" spans="1:16" x14ac:dyDescent="0.25">
      <c r="A389" t="s">
        <v>1607</v>
      </c>
      <c r="B389" s="1">
        <v>46066</v>
      </c>
      <c r="C389" s="4">
        <v>0.51875000000000004</v>
      </c>
      <c r="D389" t="s">
        <v>48</v>
      </c>
      <c r="E389" t="s">
        <v>42</v>
      </c>
      <c r="F389" t="s">
        <v>786</v>
      </c>
      <c r="G389">
        <v>63</v>
      </c>
      <c r="H389" t="s">
        <v>849</v>
      </c>
      <c r="I389" t="s">
        <v>13</v>
      </c>
      <c r="J389">
        <v>41</v>
      </c>
      <c r="K389">
        <v>10</v>
      </c>
      <c r="L389">
        <v>3.3</v>
      </c>
      <c r="M389" t="s">
        <v>14</v>
      </c>
      <c r="N389" s="2">
        <v>1191.8800000000001</v>
      </c>
      <c r="O389" s="2" t="str">
        <f>IF(EHR_Export[[#This Row],[Arrival Time]]&lt;=TIME(7,0,0), "Night", IF(EHR_Export[[#This Row],[Arrival Time]]&lt;TIME(15,0,0), "Day", "Evening"))</f>
        <v>Day</v>
      </c>
      <c r="P389" cm="1">
        <f t="array" ref="P3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90" spans="1:16" x14ac:dyDescent="0.25">
      <c r="A390" t="s">
        <v>991</v>
      </c>
      <c r="B390" s="1">
        <v>46067</v>
      </c>
      <c r="C390" s="4">
        <v>0.22638888888888889</v>
      </c>
      <c r="D390" t="s">
        <v>126</v>
      </c>
      <c r="E390" t="s">
        <v>46</v>
      </c>
      <c r="F390" t="s">
        <v>170</v>
      </c>
      <c r="G390">
        <v>46</v>
      </c>
      <c r="H390" t="s">
        <v>849</v>
      </c>
      <c r="I390" t="s">
        <v>34</v>
      </c>
      <c r="J390">
        <v>33</v>
      </c>
      <c r="K390">
        <v>24</v>
      </c>
      <c r="M390" t="s">
        <v>18</v>
      </c>
      <c r="N390" s="2">
        <v>2127.71</v>
      </c>
      <c r="O390" s="2" t="str">
        <f>IF(EHR_Export[[#This Row],[Arrival Time]]&lt;=TIME(7,0,0), "Night", IF(EHR_Export[[#This Row],[Arrival Time]]&lt;TIME(15,0,0), "Day", "Evening"))</f>
        <v>Night</v>
      </c>
      <c r="P390" cm="1">
        <f t="array" ref="P3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391" spans="1:16" x14ac:dyDescent="0.25">
      <c r="A391" t="s">
        <v>1007</v>
      </c>
      <c r="B391" s="1">
        <v>46067</v>
      </c>
      <c r="C391" s="4">
        <v>0.95902777777777781</v>
      </c>
      <c r="D391" t="s">
        <v>126</v>
      </c>
      <c r="E391" t="s">
        <v>46</v>
      </c>
      <c r="F391" t="s">
        <v>186</v>
      </c>
      <c r="G391">
        <v>14</v>
      </c>
      <c r="H391" t="s">
        <v>847</v>
      </c>
      <c r="I391" t="s">
        <v>34</v>
      </c>
      <c r="J391">
        <v>20</v>
      </c>
      <c r="K391">
        <v>29</v>
      </c>
      <c r="L391">
        <v>4.8</v>
      </c>
      <c r="M391" t="s">
        <v>14</v>
      </c>
      <c r="N391" s="2">
        <v>1677.24</v>
      </c>
      <c r="O391" s="2" t="str">
        <f>IF(EHR_Export[[#This Row],[Arrival Time]]&lt;=TIME(7,0,0), "Night", IF(EHR_Export[[#This Row],[Arrival Time]]&lt;TIME(15,0,0), "Day", "Evening"))</f>
        <v>Evening</v>
      </c>
      <c r="P391" cm="1">
        <f t="array" ref="P3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92" spans="1:16" x14ac:dyDescent="0.25">
      <c r="A392" t="s">
        <v>1101</v>
      </c>
      <c r="B392" s="1">
        <v>46067</v>
      </c>
      <c r="C392" s="4">
        <v>0.88124999999999998</v>
      </c>
      <c r="D392" t="s">
        <v>58</v>
      </c>
      <c r="E392" t="s">
        <v>842</v>
      </c>
      <c r="F392" t="s">
        <v>280</v>
      </c>
      <c r="G392">
        <v>32</v>
      </c>
      <c r="H392" t="s">
        <v>847</v>
      </c>
      <c r="I392" t="s">
        <v>13</v>
      </c>
      <c r="J392">
        <v>72</v>
      </c>
      <c r="K392">
        <v>77</v>
      </c>
      <c r="L392">
        <v>3.3</v>
      </c>
      <c r="M392" t="s">
        <v>14</v>
      </c>
      <c r="N392" s="2">
        <v>3138.86</v>
      </c>
      <c r="O392" s="2" t="str">
        <f>IF(EHR_Export[[#This Row],[Arrival Time]]&lt;=TIME(7,0,0), "Night", IF(EHR_Export[[#This Row],[Arrival Time]]&lt;TIME(15,0,0), "Day", "Evening"))</f>
        <v>Evening</v>
      </c>
      <c r="P392" cm="1">
        <f t="array" ref="P3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93" spans="1:16" x14ac:dyDescent="0.25">
      <c r="A393" t="s">
        <v>1103</v>
      </c>
      <c r="B393" s="1">
        <v>46067</v>
      </c>
      <c r="C393" s="4">
        <v>0.84027777777777779</v>
      </c>
      <c r="D393" t="s">
        <v>21</v>
      </c>
      <c r="E393" t="s">
        <v>53</v>
      </c>
      <c r="F393" t="s">
        <v>282</v>
      </c>
      <c r="G393">
        <v>65</v>
      </c>
      <c r="H393" t="s">
        <v>849</v>
      </c>
      <c r="I393" t="s">
        <v>38</v>
      </c>
      <c r="J393">
        <v>71</v>
      </c>
      <c r="K393">
        <v>29</v>
      </c>
      <c r="L393">
        <v>3.5</v>
      </c>
      <c r="M393" t="s">
        <v>14</v>
      </c>
      <c r="N393" s="2">
        <v>577.65</v>
      </c>
      <c r="O393" s="2" t="str">
        <f>IF(EHR_Export[[#This Row],[Arrival Time]]&lt;=TIME(7,0,0), "Night", IF(EHR_Export[[#This Row],[Arrival Time]]&lt;TIME(15,0,0), "Day", "Evening"))</f>
        <v>Evening</v>
      </c>
      <c r="P393" cm="1">
        <f t="array" ref="P3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394" spans="1:16" x14ac:dyDescent="0.25">
      <c r="A394" t="s">
        <v>1205</v>
      </c>
      <c r="B394" s="1">
        <v>46067</v>
      </c>
      <c r="C394" s="4">
        <v>0.29583333333333334</v>
      </c>
      <c r="D394" t="s">
        <v>48</v>
      </c>
      <c r="E394" t="s">
        <v>42</v>
      </c>
      <c r="F394" t="s">
        <v>384</v>
      </c>
      <c r="G394">
        <v>46</v>
      </c>
      <c r="H394" t="s">
        <v>847</v>
      </c>
      <c r="I394" t="s">
        <v>13</v>
      </c>
      <c r="J394">
        <v>46</v>
      </c>
      <c r="K394">
        <v>40</v>
      </c>
      <c r="L394">
        <v>3.5</v>
      </c>
      <c r="M394" t="s">
        <v>14</v>
      </c>
      <c r="N394" s="2">
        <v>1497.55</v>
      </c>
      <c r="O394" s="2" t="str">
        <f>IF(EHR_Export[[#This Row],[Arrival Time]]&lt;=TIME(7,0,0), "Night", IF(EHR_Export[[#This Row],[Arrival Time]]&lt;TIME(15,0,0), "Day", "Evening"))</f>
        <v>Day</v>
      </c>
      <c r="P394" cm="1">
        <f t="array" ref="P3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395" spans="1:16" x14ac:dyDescent="0.25">
      <c r="A395" t="s">
        <v>1282</v>
      </c>
      <c r="B395" s="1">
        <v>46067</v>
      </c>
      <c r="C395" s="4">
        <v>0.81666666666666665</v>
      </c>
      <c r="D395" t="s">
        <v>58</v>
      </c>
      <c r="E395" t="s">
        <v>842</v>
      </c>
      <c r="F395" t="s">
        <v>461</v>
      </c>
      <c r="G395">
        <v>61</v>
      </c>
      <c r="H395" t="s">
        <v>849</v>
      </c>
      <c r="I395" t="s">
        <v>25</v>
      </c>
      <c r="J395">
        <v>90</v>
      </c>
      <c r="K395">
        <v>89</v>
      </c>
      <c r="L395">
        <v>3.7</v>
      </c>
      <c r="M395" t="s">
        <v>18</v>
      </c>
      <c r="N395" s="2">
        <v>3657.27</v>
      </c>
      <c r="O395" s="2" t="str">
        <f>IF(EHR_Export[[#This Row],[Arrival Time]]&lt;=TIME(7,0,0), "Night", IF(EHR_Export[[#This Row],[Arrival Time]]&lt;TIME(15,0,0), "Day", "Evening"))</f>
        <v>Evening</v>
      </c>
      <c r="P395" cm="1">
        <f t="array" ref="P3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396" spans="1:16" x14ac:dyDescent="0.25">
      <c r="A396" t="s">
        <v>1294</v>
      </c>
      <c r="B396" s="1">
        <v>46067</v>
      </c>
      <c r="C396" s="4">
        <v>0.49791666666666667</v>
      </c>
      <c r="D396" t="s">
        <v>21</v>
      </c>
      <c r="E396" t="s">
        <v>53</v>
      </c>
      <c r="F396" t="s">
        <v>473</v>
      </c>
      <c r="G396">
        <v>20</v>
      </c>
      <c r="H396" t="s">
        <v>849</v>
      </c>
      <c r="I396" t="s">
        <v>34</v>
      </c>
      <c r="J396">
        <v>47</v>
      </c>
      <c r="K396">
        <v>31</v>
      </c>
      <c r="L396">
        <v>3.9</v>
      </c>
      <c r="M396" t="s">
        <v>14</v>
      </c>
      <c r="N396" s="2">
        <v>633.88</v>
      </c>
      <c r="O396" s="2" t="str">
        <f>IF(EHR_Export[[#This Row],[Arrival Time]]&lt;=TIME(7,0,0), "Night", IF(EHR_Export[[#This Row],[Arrival Time]]&lt;TIME(15,0,0), "Day", "Evening"))</f>
        <v>Day</v>
      </c>
      <c r="P396" cm="1">
        <f t="array" ref="P3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397" spans="1:16" x14ac:dyDescent="0.25">
      <c r="A397" t="s">
        <v>1298</v>
      </c>
      <c r="B397" s="1">
        <v>46067</v>
      </c>
      <c r="C397" s="4">
        <v>0.46458333333333335</v>
      </c>
      <c r="D397" t="s">
        <v>28</v>
      </c>
      <c r="E397" t="s">
        <v>23</v>
      </c>
      <c r="F397" t="s">
        <v>477</v>
      </c>
      <c r="G397">
        <v>22</v>
      </c>
      <c r="H397" t="s">
        <v>847</v>
      </c>
      <c r="I397" t="s">
        <v>34</v>
      </c>
      <c r="J397">
        <v>67</v>
      </c>
      <c r="K397">
        <v>29</v>
      </c>
      <c r="L397">
        <v>4.2</v>
      </c>
      <c r="M397" t="s">
        <v>14</v>
      </c>
      <c r="N397" s="2">
        <v>930.36</v>
      </c>
      <c r="O397" s="2" t="str">
        <f>IF(EHR_Export[[#This Row],[Arrival Time]]&lt;=TIME(7,0,0), "Night", IF(EHR_Export[[#This Row],[Arrival Time]]&lt;TIME(15,0,0), "Day", "Evening"))</f>
        <v>Day</v>
      </c>
      <c r="P397" cm="1">
        <f t="array" ref="P3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398" spans="1:16" x14ac:dyDescent="0.25">
      <c r="A398" t="s">
        <v>1416</v>
      </c>
      <c r="B398" s="1">
        <v>46067</v>
      </c>
      <c r="C398" s="4">
        <v>0.86944444444444446</v>
      </c>
      <c r="D398" t="s">
        <v>21</v>
      </c>
      <c r="E398" t="s">
        <v>53</v>
      </c>
      <c r="F398" t="s">
        <v>595</v>
      </c>
      <c r="G398">
        <v>88</v>
      </c>
      <c r="H398" t="s">
        <v>847</v>
      </c>
      <c r="I398" t="s">
        <v>25</v>
      </c>
      <c r="J398">
        <v>61</v>
      </c>
      <c r="K398">
        <v>40</v>
      </c>
      <c r="L398">
        <v>4.2</v>
      </c>
      <c r="M398" t="s">
        <v>14</v>
      </c>
      <c r="N398" s="2">
        <v>717.1</v>
      </c>
      <c r="O398" s="2" t="str">
        <f>IF(EHR_Export[[#This Row],[Arrival Time]]&lt;=TIME(7,0,0), "Night", IF(EHR_Export[[#This Row],[Arrival Time]]&lt;TIME(15,0,0), "Day", "Evening"))</f>
        <v>Evening</v>
      </c>
      <c r="P398" cm="1">
        <f t="array" ref="P3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399" spans="1:16" x14ac:dyDescent="0.25">
      <c r="A399" t="s">
        <v>1520</v>
      </c>
      <c r="B399" s="1">
        <v>46067</v>
      </c>
      <c r="C399" s="4">
        <v>0.57847222222222228</v>
      </c>
      <c r="D399" t="s">
        <v>126</v>
      </c>
      <c r="E399" t="s">
        <v>46</v>
      </c>
      <c r="F399" t="s">
        <v>699</v>
      </c>
      <c r="G399">
        <v>43</v>
      </c>
      <c r="H399" t="s">
        <v>847</v>
      </c>
      <c r="I399" t="s">
        <v>34</v>
      </c>
      <c r="J399">
        <v>45</v>
      </c>
      <c r="K399">
        <v>77</v>
      </c>
      <c r="L399">
        <v>3.4</v>
      </c>
      <c r="M399" t="s">
        <v>14</v>
      </c>
      <c r="N399" s="2">
        <v>2241.25</v>
      </c>
      <c r="O399" s="2" t="str">
        <f>IF(EHR_Export[[#This Row],[Arrival Time]]&lt;=TIME(7,0,0), "Night", IF(EHR_Export[[#This Row],[Arrival Time]]&lt;TIME(15,0,0), "Day", "Evening"))</f>
        <v>Day</v>
      </c>
      <c r="P399" cm="1">
        <f t="array" ref="P3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00" spans="1:16" x14ac:dyDescent="0.25">
      <c r="A400" t="s">
        <v>1573</v>
      </c>
      <c r="B400" s="1">
        <v>46067</v>
      </c>
      <c r="C400" s="4">
        <v>1.3888888888888888E-2</v>
      </c>
      <c r="D400" t="s">
        <v>48</v>
      </c>
      <c r="E400" t="s">
        <v>42</v>
      </c>
      <c r="F400" t="s">
        <v>752</v>
      </c>
      <c r="G400">
        <v>34</v>
      </c>
      <c r="H400" t="s">
        <v>847</v>
      </c>
      <c r="I400" t="s">
        <v>34</v>
      </c>
      <c r="J400">
        <v>82</v>
      </c>
      <c r="K400">
        <v>25</v>
      </c>
      <c r="L400">
        <v>3.3</v>
      </c>
      <c r="M400" t="s">
        <v>14</v>
      </c>
      <c r="N400" s="2">
        <v>1061.45</v>
      </c>
      <c r="O400" s="2" t="str">
        <f>IF(EHR_Export[[#This Row],[Arrival Time]]&lt;=TIME(7,0,0), "Night", IF(EHR_Export[[#This Row],[Arrival Time]]&lt;TIME(15,0,0), "Day", "Evening"))</f>
        <v>Night</v>
      </c>
      <c r="P400" cm="1">
        <f t="array" ref="P4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01" spans="1:16" x14ac:dyDescent="0.25">
      <c r="A401" t="s">
        <v>962</v>
      </c>
      <c r="B401" s="1">
        <v>46068</v>
      </c>
      <c r="C401" s="4">
        <v>0.58263888888888893</v>
      </c>
      <c r="D401" t="s">
        <v>126</v>
      </c>
      <c r="E401" t="s">
        <v>46</v>
      </c>
      <c r="F401" t="s">
        <v>141</v>
      </c>
      <c r="G401">
        <v>51</v>
      </c>
      <c r="H401" t="s">
        <v>847</v>
      </c>
      <c r="I401" t="s">
        <v>25</v>
      </c>
      <c r="J401">
        <v>47</v>
      </c>
      <c r="K401">
        <v>14</v>
      </c>
      <c r="L401">
        <v>3.2</v>
      </c>
      <c r="M401" t="s">
        <v>14</v>
      </c>
      <c r="N401" s="2">
        <v>428.73</v>
      </c>
      <c r="O401" s="2" t="str">
        <f>IF(EHR_Export[[#This Row],[Arrival Time]]&lt;=TIME(7,0,0), "Night", IF(EHR_Export[[#This Row],[Arrival Time]]&lt;TIME(15,0,0), "Day", "Evening"))</f>
        <v>Day</v>
      </c>
      <c r="P401" cm="1">
        <f t="array" ref="P4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02" spans="1:16" x14ac:dyDescent="0.25">
      <c r="A402" t="s">
        <v>973</v>
      </c>
      <c r="B402" s="1">
        <v>46068</v>
      </c>
      <c r="C402" s="4">
        <v>0.26805555555555555</v>
      </c>
      <c r="D402" t="s">
        <v>21</v>
      </c>
      <c r="E402" t="s">
        <v>53</v>
      </c>
      <c r="F402" t="s">
        <v>152</v>
      </c>
      <c r="G402">
        <v>83</v>
      </c>
      <c r="H402" t="s">
        <v>849</v>
      </c>
      <c r="I402" t="s">
        <v>13</v>
      </c>
      <c r="J402">
        <v>49</v>
      </c>
      <c r="K402">
        <v>54</v>
      </c>
      <c r="L402">
        <v>3.2</v>
      </c>
      <c r="M402" t="s">
        <v>14</v>
      </c>
      <c r="N402" s="2">
        <v>738.65</v>
      </c>
      <c r="O402" s="2" t="str">
        <f>IF(EHR_Export[[#This Row],[Arrival Time]]&lt;=TIME(7,0,0), "Night", IF(EHR_Export[[#This Row],[Arrival Time]]&lt;TIME(15,0,0), "Day", "Evening"))</f>
        <v>Night</v>
      </c>
      <c r="P402" cm="1">
        <f t="array" ref="P4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03" spans="1:16" x14ac:dyDescent="0.25">
      <c r="A403" t="s">
        <v>1312</v>
      </c>
      <c r="B403" s="1">
        <v>46068</v>
      </c>
      <c r="C403" s="4">
        <v>0.54027777777777775</v>
      </c>
      <c r="D403" t="s">
        <v>126</v>
      </c>
      <c r="E403" t="s">
        <v>46</v>
      </c>
      <c r="F403" t="s">
        <v>491</v>
      </c>
      <c r="G403">
        <v>52</v>
      </c>
      <c r="H403" t="s">
        <v>849</v>
      </c>
      <c r="I403" t="s">
        <v>38</v>
      </c>
      <c r="J403">
        <v>45</v>
      </c>
      <c r="K403">
        <v>51</v>
      </c>
      <c r="L403">
        <v>4</v>
      </c>
      <c r="M403" t="s">
        <v>14</v>
      </c>
      <c r="N403" s="2">
        <v>2150.9899999999998</v>
      </c>
      <c r="O403" s="2" t="str">
        <f>IF(EHR_Export[[#This Row],[Arrival Time]]&lt;=TIME(7,0,0), "Night", IF(EHR_Export[[#This Row],[Arrival Time]]&lt;TIME(15,0,0), "Day", "Evening"))</f>
        <v>Day</v>
      </c>
      <c r="P403" cm="1">
        <f t="array" ref="P4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04" spans="1:16" x14ac:dyDescent="0.25">
      <c r="A404" t="s">
        <v>1314</v>
      </c>
      <c r="B404" s="1">
        <v>46068</v>
      </c>
      <c r="C404" s="4">
        <v>0.63402777777777775</v>
      </c>
      <c r="D404" t="s">
        <v>28</v>
      </c>
      <c r="E404" t="s">
        <v>23</v>
      </c>
      <c r="F404" t="s">
        <v>493</v>
      </c>
      <c r="G404">
        <v>41</v>
      </c>
      <c r="H404" t="s">
        <v>847</v>
      </c>
      <c r="I404" t="s">
        <v>13</v>
      </c>
      <c r="J404">
        <v>68</v>
      </c>
      <c r="K404">
        <v>45</v>
      </c>
      <c r="L404">
        <v>3.6</v>
      </c>
      <c r="M404" t="s">
        <v>14</v>
      </c>
      <c r="N404" s="2">
        <v>920.25</v>
      </c>
      <c r="O404" s="2" t="str">
        <f>IF(EHR_Export[[#This Row],[Arrival Time]]&lt;=TIME(7,0,0), "Night", IF(EHR_Export[[#This Row],[Arrival Time]]&lt;TIME(15,0,0), "Day", "Evening"))</f>
        <v>Evening</v>
      </c>
      <c r="P404" cm="1">
        <f t="array" ref="P4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05" spans="1:16" x14ac:dyDescent="0.25">
      <c r="A405" t="s">
        <v>1445</v>
      </c>
      <c r="B405" s="1">
        <v>46068</v>
      </c>
      <c r="C405" s="4">
        <v>0.71180555555555558</v>
      </c>
      <c r="D405" t="s">
        <v>28</v>
      </c>
      <c r="E405" t="s">
        <v>23</v>
      </c>
      <c r="F405" t="s">
        <v>624</v>
      </c>
      <c r="G405">
        <v>13</v>
      </c>
      <c r="H405" t="s">
        <v>849</v>
      </c>
      <c r="I405" t="s">
        <v>34</v>
      </c>
      <c r="J405">
        <v>91</v>
      </c>
      <c r="K405">
        <v>39</v>
      </c>
      <c r="L405">
        <v>3.1</v>
      </c>
      <c r="M405" t="s">
        <v>14</v>
      </c>
      <c r="N405" s="2">
        <v>1045.8900000000001</v>
      </c>
      <c r="O405" s="2" t="str">
        <f>IF(EHR_Export[[#This Row],[Arrival Time]]&lt;=TIME(7,0,0), "Night", IF(EHR_Export[[#This Row],[Arrival Time]]&lt;TIME(15,0,0), "Day", "Evening"))</f>
        <v>Evening</v>
      </c>
      <c r="P405" cm="1">
        <f t="array" ref="P4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06" spans="1:16" x14ac:dyDescent="0.25">
      <c r="A406" t="s">
        <v>1472</v>
      </c>
      <c r="B406" s="1">
        <v>46068</v>
      </c>
      <c r="C406" s="4">
        <v>0.35347222222222224</v>
      </c>
      <c r="D406" t="s">
        <v>28</v>
      </c>
      <c r="E406" t="s">
        <v>23</v>
      </c>
      <c r="F406" t="s">
        <v>651</v>
      </c>
      <c r="G406">
        <v>47</v>
      </c>
      <c r="H406" t="s">
        <v>849</v>
      </c>
      <c r="I406" t="s">
        <v>38</v>
      </c>
      <c r="J406">
        <v>55</v>
      </c>
      <c r="K406">
        <v>21</v>
      </c>
      <c r="M406" t="s">
        <v>14</v>
      </c>
      <c r="N406" s="2">
        <v>868.7</v>
      </c>
      <c r="O406" s="2" t="str">
        <f>IF(EHR_Export[[#This Row],[Arrival Time]]&lt;=TIME(7,0,0), "Night", IF(EHR_Export[[#This Row],[Arrival Time]]&lt;TIME(15,0,0), "Day", "Evening"))</f>
        <v>Day</v>
      </c>
      <c r="P406" cm="1">
        <f t="array" ref="P4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07" spans="1:16" x14ac:dyDescent="0.25">
      <c r="A407" t="s">
        <v>1510</v>
      </c>
      <c r="B407" s="1">
        <v>46068</v>
      </c>
      <c r="C407" s="4">
        <v>0.69930555555555551</v>
      </c>
      <c r="D407" t="s">
        <v>58</v>
      </c>
      <c r="E407" t="s">
        <v>842</v>
      </c>
      <c r="F407" t="s">
        <v>689</v>
      </c>
      <c r="G407">
        <v>46</v>
      </c>
      <c r="H407" t="s">
        <v>847</v>
      </c>
      <c r="I407" t="s">
        <v>38</v>
      </c>
      <c r="J407">
        <v>89</v>
      </c>
      <c r="K407">
        <v>75</v>
      </c>
      <c r="L407">
        <v>2.5</v>
      </c>
      <c r="M407" t="s">
        <v>14</v>
      </c>
      <c r="N407" s="2">
        <v>3138.13</v>
      </c>
      <c r="O407" s="2" t="str">
        <f>IF(EHR_Export[[#This Row],[Arrival Time]]&lt;=TIME(7,0,0), "Night", IF(EHR_Export[[#This Row],[Arrival Time]]&lt;TIME(15,0,0), "Day", "Evening"))</f>
        <v>Evening</v>
      </c>
      <c r="P407" cm="1">
        <f t="array" ref="P4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08" spans="1:16" x14ac:dyDescent="0.25">
      <c r="A408" t="s">
        <v>1577</v>
      </c>
      <c r="B408" s="1">
        <v>46068</v>
      </c>
      <c r="C408" s="4">
        <v>0.60069444444444442</v>
      </c>
      <c r="D408" t="s">
        <v>48</v>
      </c>
      <c r="E408" t="s">
        <v>42</v>
      </c>
      <c r="F408" t="s">
        <v>756</v>
      </c>
      <c r="G408">
        <v>67</v>
      </c>
      <c r="H408" t="s">
        <v>849</v>
      </c>
      <c r="I408" t="s">
        <v>34</v>
      </c>
      <c r="J408">
        <v>56</v>
      </c>
      <c r="K408">
        <v>31</v>
      </c>
      <c r="L408">
        <v>2.6</v>
      </c>
      <c r="M408" t="s">
        <v>14</v>
      </c>
      <c r="N408" s="2">
        <v>2272</v>
      </c>
      <c r="O408" s="2" t="str">
        <f>IF(EHR_Export[[#This Row],[Arrival Time]]&lt;=TIME(7,0,0), "Night", IF(EHR_Export[[#This Row],[Arrival Time]]&lt;TIME(15,0,0), "Day", "Evening"))</f>
        <v>Day</v>
      </c>
      <c r="P408" cm="1">
        <f t="array" ref="P4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09" spans="1:16" x14ac:dyDescent="0.25">
      <c r="A409" t="s">
        <v>1587</v>
      </c>
      <c r="B409" s="1">
        <v>46068</v>
      </c>
      <c r="C409" s="4">
        <v>0.58402777777777781</v>
      </c>
      <c r="D409" t="s">
        <v>58</v>
      </c>
      <c r="E409" t="s">
        <v>842</v>
      </c>
      <c r="F409" t="s">
        <v>766</v>
      </c>
      <c r="G409">
        <v>21</v>
      </c>
      <c r="H409" t="s">
        <v>847</v>
      </c>
      <c r="I409" t="s">
        <v>25</v>
      </c>
      <c r="J409">
        <v>55</v>
      </c>
      <c r="K409">
        <v>94</v>
      </c>
      <c r="L409">
        <v>3</v>
      </c>
      <c r="M409" t="s">
        <v>14</v>
      </c>
      <c r="N409" s="2">
        <v>4360.49</v>
      </c>
      <c r="O409" s="2" t="str">
        <f>IF(EHR_Export[[#This Row],[Arrival Time]]&lt;=TIME(7,0,0), "Night", IF(EHR_Export[[#This Row],[Arrival Time]]&lt;TIME(15,0,0), "Day", "Evening"))</f>
        <v>Day</v>
      </c>
      <c r="P409" cm="1">
        <f t="array" ref="P4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10" spans="1:16" x14ac:dyDescent="0.25">
      <c r="A410" t="s">
        <v>872</v>
      </c>
      <c r="B410" s="1">
        <v>46069</v>
      </c>
      <c r="C410" s="4">
        <v>0.53333333333333333</v>
      </c>
      <c r="D410" t="s">
        <v>126</v>
      </c>
      <c r="E410" t="s">
        <v>46</v>
      </c>
      <c r="F410" t="s">
        <v>47</v>
      </c>
      <c r="G410">
        <v>58</v>
      </c>
      <c r="H410" t="s">
        <v>849</v>
      </c>
      <c r="I410" t="s">
        <v>25</v>
      </c>
      <c r="J410">
        <v>52</v>
      </c>
      <c r="K410">
        <v>10</v>
      </c>
      <c r="M410" t="s">
        <v>18</v>
      </c>
      <c r="N410" s="2">
        <v>2712.55</v>
      </c>
      <c r="O410" s="2" t="str">
        <f>IF(EHR_Export[[#This Row],[Arrival Time]]&lt;=TIME(7,0,0), "Night", IF(EHR_Export[[#This Row],[Arrival Time]]&lt;TIME(15,0,0), "Day", "Evening"))</f>
        <v>Day</v>
      </c>
      <c r="P410" cm="1">
        <f t="array" ref="P4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11" spans="1:16" x14ac:dyDescent="0.25">
      <c r="A411" t="s">
        <v>1147</v>
      </c>
      <c r="B411" s="1">
        <v>46069</v>
      </c>
      <c r="C411" s="4">
        <v>0.92986111111111114</v>
      </c>
      <c r="D411" t="s">
        <v>48</v>
      </c>
      <c r="E411" t="s">
        <v>42</v>
      </c>
      <c r="F411" t="s">
        <v>326</v>
      </c>
      <c r="G411">
        <v>29</v>
      </c>
      <c r="H411" t="s">
        <v>847</v>
      </c>
      <c r="I411" t="s">
        <v>25</v>
      </c>
      <c r="J411">
        <v>76</v>
      </c>
      <c r="K411">
        <v>15</v>
      </c>
      <c r="L411">
        <v>3.6</v>
      </c>
      <c r="M411" t="s">
        <v>14</v>
      </c>
      <c r="N411" s="2">
        <v>1552.73</v>
      </c>
      <c r="O411" s="2" t="str">
        <f>IF(EHR_Export[[#This Row],[Arrival Time]]&lt;=TIME(7,0,0), "Night", IF(EHR_Export[[#This Row],[Arrival Time]]&lt;TIME(15,0,0), "Day", "Evening"))</f>
        <v>Evening</v>
      </c>
      <c r="P411" cm="1">
        <f t="array" ref="P4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12" spans="1:16" x14ac:dyDescent="0.25">
      <c r="A412" t="s">
        <v>1177</v>
      </c>
      <c r="B412" s="1">
        <v>46069</v>
      </c>
      <c r="C412" s="4">
        <v>0.38263888888888886</v>
      </c>
      <c r="D412" t="s">
        <v>48</v>
      </c>
      <c r="E412" t="s">
        <v>42</v>
      </c>
      <c r="F412" t="s">
        <v>356</v>
      </c>
      <c r="G412">
        <v>54</v>
      </c>
      <c r="H412" t="s">
        <v>849</v>
      </c>
      <c r="I412" t="s">
        <v>34</v>
      </c>
      <c r="J412">
        <v>27</v>
      </c>
      <c r="K412">
        <v>49</v>
      </c>
      <c r="L412">
        <v>3.3</v>
      </c>
      <c r="M412" t="s">
        <v>14</v>
      </c>
      <c r="N412" s="2">
        <v>2056.1999999999998</v>
      </c>
      <c r="O412" s="2" t="str">
        <f>IF(EHR_Export[[#This Row],[Arrival Time]]&lt;=TIME(7,0,0), "Night", IF(EHR_Export[[#This Row],[Arrival Time]]&lt;TIME(15,0,0), "Day", "Evening"))</f>
        <v>Day</v>
      </c>
      <c r="P412" cm="1">
        <f t="array" ref="P4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13" spans="1:16" x14ac:dyDescent="0.25">
      <c r="A413" t="s">
        <v>1230</v>
      </c>
      <c r="B413" s="1">
        <v>46069</v>
      </c>
      <c r="C413" s="4">
        <v>0.78541666666666665</v>
      </c>
      <c r="D413" t="s">
        <v>28</v>
      </c>
      <c r="E413" t="s">
        <v>23</v>
      </c>
      <c r="F413" t="s">
        <v>409</v>
      </c>
      <c r="G413">
        <v>11</v>
      </c>
      <c r="H413" t="s">
        <v>849</v>
      </c>
      <c r="I413" t="s">
        <v>34</v>
      </c>
      <c r="J413">
        <v>49</v>
      </c>
      <c r="K413">
        <v>67</v>
      </c>
      <c r="L413">
        <v>3.3</v>
      </c>
      <c r="M413" t="s">
        <v>14</v>
      </c>
      <c r="N413" s="2">
        <v>711.93</v>
      </c>
      <c r="O413" s="2" t="str">
        <f>IF(EHR_Export[[#This Row],[Arrival Time]]&lt;=TIME(7,0,0), "Night", IF(EHR_Export[[#This Row],[Arrival Time]]&lt;TIME(15,0,0), "Day", "Evening"))</f>
        <v>Evening</v>
      </c>
      <c r="P413" cm="1">
        <f t="array" ref="P4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14" spans="1:16" x14ac:dyDescent="0.25">
      <c r="A414" t="s">
        <v>1300</v>
      </c>
      <c r="B414" s="1">
        <v>46069</v>
      </c>
      <c r="C414" s="4">
        <v>0.69305555555555554</v>
      </c>
      <c r="D414" t="s">
        <v>126</v>
      </c>
      <c r="E414" t="s">
        <v>46</v>
      </c>
      <c r="F414" t="s">
        <v>479</v>
      </c>
      <c r="G414">
        <v>23</v>
      </c>
      <c r="H414" t="s">
        <v>849</v>
      </c>
      <c r="I414" t="s">
        <v>34</v>
      </c>
      <c r="J414">
        <v>33</v>
      </c>
      <c r="K414">
        <v>73</v>
      </c>
      <c r="L414">
        <v>4</v>
      </c>
      <c r="M414" t="s">
        <v>14</v>
      </c>
      <c r="N414" s="2">
        <v>2148.41</v>
      </c>
      <c r="O414" s="2" t="str">
        <f>IF(EHR_Export[[#This Row],[Arrival Time]]&lt;=TIME(7,0,0), "Night", IF(EHR_Export[[#This Row],[Arrival Time]]&lt;TIME(15,0,0), "Day", "Evening"))</f>
        <v>Evening</v>
      </c>
      <c r="P414" cm="1">
        <f t="array" ref="P4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15" spans="1:16" x14ac:dyDescent="0.25">
      <c r="A415" t="s">
        <v>1316</v>
      </c>
      <c r="B415" s="1">
        <v>46069</v>
      </c>
      <c r="C415" s="4">
        <v>0.81597222222222221</v>
      </c>
      <c r="D415" t="s">
        <v>48</v>
      </c>
      <c r="E415" t="s">
        <v>42</v>
      </c>
      <c r="F415" t="s">
        <v>495</v>
      </c>
      <c r="G415">
        <v>38</v>
      </c>
      <c r="H415" t="s">
        <v>849</v>
      </c>
      <c r="I415" t="s">
        <v>25</v>
      </c>
      <c r="J415">
        <v>83</v>
      </c>
      <c r="K415">
        <v>27</v>
      </c>
      <c r="M415" t="s">
        <v>14</v>
      </c>
      <c r="N415" s="2">
        <v>1018.54</v>
      </c>
      <c r="O415" s="2" t="str">
        <f>IF(EHR_Export[[#This Row],[Arrival Time]]&lt;=TIME(7,0,0), "Night", IF(EHR_Export[[#This Row],[Arrival Time]]&lt;TIME(15,0,0), "Day", "Evening"))</f>
        <v>Evening</v>
      </c>
      <c r="P415" cm="1">
        <f t="array" ref="P4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16" spans="1:16" x14ac:dyDescent="0.25">
      <c r="A416" t="s">
        <v>1337</v>
      </c>
      <c r="B416" s="1">
        <v>46069</v>
      </c>
      <c r="C416" s="4">
        <v>0.89652777777777781</v>
      </c>
      <c r="D416" t="s">
        <v>28</v>
      </c>
      <c r="E416" t="s">
        <v>23</v>
      </c>
      <c r="F416" t="s">
        <v>516</v>
      </c>
      <c r="G416">
        <v>30</v>
      </c>
      <c r="H416" t="s">
        <v>847</v>
      </c>
      <c r="I416" t="s">
        <v>38</v>
      </c>
      <c r="J416">
        <v>77</v>
      </c>
      <c r="K416">
        <v>10</v>
      </c>
      <c r="M416" t="s">
        <v>14</v>
      </c>
      <c r="N416" s="2">
        <v>731.38</v>
      </c>
      <c r="O416" s="2" t="str">
        <f>IF(EHR_Export[[#This Row],[Arrival Time]]&lt;=TIME(7,0,0), "Night", IF(EHR_Export[[#This Row],[Arrival Time]]&lt;TIME(15,0,0), "Day", "Evening"))</f>
        <v>Evening</v>
      </c>
      <c r="P416" cm="1">
        <f t="array" ref="P4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17" spans="1:16" x14ac:dyDescent="0.25">
      <c r="A417" t="s">
        <v>1396</v>
      </c>
      <c r="B417" s="1">
        <v>46069</v>
      </c>
      <c r="C417" s="4">
        <v>0.8041666666666667</v>
      </c>
      <c r="D417" t="s">
        <v>21</v>
      </c>
      <c r="E417" t="s">
        <v>53</v>
      </c>
      <c r="F417" t="s">
        <v>575</v>
      </c>
      <c r="G417">
        <v>45</v>
      </c>
      <c r="H417" t="s">
        <v>847</v>
      </c>
      <c r="I417" t="s">
        <v>25</v>
      </c>
      <c r="J417">
        <v>40</v>
      </c>
      <c r="K417">
        <v>26</v>
      </c>
      <c r="L417">
        <v>3.5</v>
      </c>
      <c r="M417" t="s">
        <v>14</v>
      </c>
      <c r="N417" s="2">
        <v>848.86</v>
      </c>
      <c r="O417" s="2" t="str">
        <f>IF(EHR_Export[[#This Row],[Arrival Time]]&lt;=TIME(7,0,0), "Night", IF(EHR_Export[[#This Row],[Arrival Time]]&lt;TIME(15,0,0), "Day", "Evening"))</f>
        <v>Evening</v>
      </c>
      <c r="P417" cm="1">
        <f t="array" ref="P4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18" spans="1:16" x14ac:dyDescent="0.25">
      <c r="A418" t="s">
        <v>913</v>
      </c>
      <c r="B418" s="1">
        <v>46070</v>
      </c>
      <c r="C418" s="4">
        <v>0.66736111111111107</v>
      </c>
      <c r="D418" t="s">
        <v>21</v>
      </c>
      <c r="E418" t="s">
        <v>53</v>
      </c>
      <c r="F418" t="s">
        <v>91</v>
      </c>
      <c r="G418">
        <v>53</v>
      </c>
      <c r="H418" t="s">
        <v>849</v>
      </c>
      <c r="I418" t="s">
        <v>38</v>
      </c>
      <c r="J418">
        <v>40</v>
      </c>
      <c r="K418">
        <v>10</v>
      </c>
      <c r="L418">
        <v>3.1</v>
      </c>
      <c r="M418" t="s">
        <v>18</v>
      </c>
      <c r="N418" s="2">
        <v>823.2</v>
      </c>
      <c r="O418" s="2" t="str">
        <f>IF(EHR_Export[[#This Row],[Arrival Time]]&lt;=TIME(7,0,0), "Night", IF(EHR_Export[[#This Row],[Arrival Time]]&lt;TIME(15,0,0), "Day", "Evening"))</f>
        <v>Evening</v>
      </c>
      <c r="P418" cm="1">
        <f t="array" ref="P4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19" spans="1:16" x14ac:dyDescent="0.25">
      <c r="A419" t="s">
        <v>918</v>
      </c>
      <c r="B419" s="1">
        <v>46070</v>
      </c>
      <c r="C419" s="4">
        <v>0.71875</v>
      </c>
      <c r="D419" t="s">
        <v>28</v>
      </c>
      <c r="E419" t="s">
        <v>23</v>
      </c>
      <c r="F419" t="s">
        <v>96</v>
      </c>
      <c r="G419">
        <v>33</v>
      </c>
      <c r="H419" t="s">
        <v>847</v>
      </c>
      <c r="I419" t="s">
        <v>38</v>
      </c>
      <c r="J419">
        <v>85</v>
      </c>
      <c r="K419">
        <v>46</v>
      </c>
      <c r="L419">
        <v>3.1</v>
      </c>
      <c r="M419" t="s">
        <v>14</v>
      </c>
      <c r="N419" s="2">
        <v>1112.47</v>
      </c>
      <c r="O419" s="2" t="str">
        <f>IF(EHR_Export[[#This Row],[Arrival Time]]&lt;=TIME(7,0,0), "Night", IF(EHR_Export[[#This Row],[Arrival Time]]&lt;TIME(15,0,0), "Day", "Evening"))</f>
        <v>Evening</v>
      </c>
      <c r="P419" cm="1">
        <f t="array" ref="P4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20" spans="1:16" x14ac:dyDescent="0.25">
      <c r="A420" t="s">
        <v>1233</v>
      </c>
      <c r="B420" s="1">
        <v>46070</v>
      </c>
      <c r="C420" s="4">
        <v>0.43125000000000002</v>
      </c>
      <c r="D420" t="s">
        <v>58</v>
      </c>
      <c r="E420" t="s">
        <v>842</v>
      </c>
      <c r="F420" t="s">
        <v>412</v>
      </c>
      <c r="G420">
        <v>64</v>
      </c>
      <c r="H420" t="s">
        <v>849</v>
      </c>
      <c r="I420" t="s">
        <v>13</v>
      </c>
      <c r="J420">
        <v>59</v>
      </c>
      <c r="K420">
        <v>78</v>
      </c>
      <c r="L420">
        <v>3.6</v>
      </c>
      <c r="M420" t="s">
        <v>14</v>
      </c>
      <c r="N420" s="2">
        <v>3685.78</v>
      </c>
      <c r="O420" s="2" t="str">
        <f>IF(EHR_Export[[#This Row],[Arrival Time]]&lt;=TIME(7,0,0), "Night", IF(EHR_Export[[#This Row],[Arrival Time]]&lt;TIME(15,0,0), "Day", "Evening"))</f>
        <v>Day</v>
      </c>
      <c r="P420" cm="1">
        <f t="array" ref="P4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21" spans="1:16" x14ac:dyDescent="0.25">
      <c r="A421" t="s">
        <v>1290</v>
      </c>
      <c r="B421" s="1">
        <v>46070</v>
      </c>
      <c r="C421" s="4">
        <v>0.77083333333333337</v>
      </c>
      <c r="D421" t="s">
        <v>28</v>
      </c>
      <c r="E421" t="s">
        <v>23</v>
      </c>
      <c r="F421" t="s">
        <v>469</v>
      </c>
      <c r="G421">
        <v>36</v>
      </c>
      <c r="H421" t="s">
        <v>849</v>
      </c>
      <c r="I421" t="s">
        <v>38</v>
      </c>
      <c r="J421">
        <v>55</v>
      </c>
      <c r="K421">
        <v>57</v>
      </c>
      <c r="L421">
        <v>4</v>
      </c>
      <c r="M421" t="s">
        <v>14</v>
      </c>
      <c r="N421" s="2">
        <v>798.58</v>
      </c>
      <c r="O421" s="2" t="str">
        <f>IF(EHR_Export[[#This Row],[Arrival Time]]&lt;=TIME(7,0,0), "Night", IF(EHR_Export[[#This Row],[Arrival Time]]&lt;TIME(15,0,0), "Day", "Evening"))</f>
        <v>Evening</v>
      </c>
      <c r="P421" cm="1">
        <f t="array" ref="P4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22" spans="1:16" x14ac:dyDescent="0.25">
      <c r="A422" t="s">
        <v>1388</v>
      </c>
      <c r="B422" s="1">
        <v>46070</v>
      </c>
      <c r="C422" s="4">
        <v>0.76458333333333328</v>
      </c>
      <c r="D422" t="s">
        <v>126</v>
      </c>
      <c r="E422" t="s">
        <v>46</v>
      </c>
      <c r="F422" t="s">
        <v>567</v>
      </c>
      <c r="G422">
        <v>35</v>
      </c>
      <c r="H422" t="s">
        <v>849</v>
      </c>
      <c r="I422" t="s">
        <v>38</v>
      </c>
      <c r="J422">
        <v>33</v>
      </c>
      <c r="K422">
        <v>46</v>
      </c>
      <c r="L422">
        <v>2.9</v>
      </c>
      <c r="M422" t="s">
        <v>14</v>
      </c>
      <c r="N422" s="2">
        <v>1165.18</v>
      </c>
      <c r="O422" s="2" t="str">
        <f>IF(EHR_Export[[#This Row],[Arrival Time]]&lt;=TIME(7,0,0), "Night", IF(EHR_Export[[#This Row],[Arrival Time]]&lt;TIME(15,0,0), "Day", "Evening"))</f>
        <v>Evening</v>
      </c>
      <c r="P422" cm="1">
        <f t="array" ref="P4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23" spans="1:16" x14ac:dyDescent="0.25">
      <c r="A423" t="s">
        <v>1525</v>
      </c>
      <c r="B423" s="1">
        <v>46070</v>
      </c>
      <c r="C423" s="4">
        <v>0.37291666666666667</v>
      </c>
      <c r="D423" t="s">
        <v>28</v>
      </c>
      <c r="E423" t="s">
        <v>23</v>
      </c>
      <c r="F423" t="s">
        <v>704</v>
      </c>
      <c r="G423">
        <v>36</v>
      </c>
      <c r="H423" t="s">
        <v>849</v>
      </c>
      <c r="I423" t="s">
        <v>25</v>
      </c>
      <c r="J423">
        <v>13</v>
      </c>
      <c r="K423">
        <v>65</v>
      </c>
      <c r="N423" s="2">
        <v>854.56</v>
      </c>
      <c r="O423" s="2" t="str">
        <f>IF(EHR_Export[[#This Row],[Arrival Time]]&lt;=TIME(7,0,0), "Night", IF(EHR_Export[[#This Row],[Arrival Time]]&lt;TIME(15,0,0), "Day", "Evening"))</f>
        <v>Day</v>
      </c>
      <c r="P423" cm="1">
        <f t="array" ref="P4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24" spans="1:16" x14ac:dyDescent="0.25">
      <c r="A424" t="s">
        <v>1533</v>
      </c>
      <c r="B424" s="1">
        <v>46070</v>
      </c>
      <c r="C424" s="4">
        <v>0.76736111111111116</v>
      </c>
      <c r="D424" t="s">
        <v>58</v>
      </c>
      <c r="E424" t="s">
        <v>842</v>
      </c>
      <c r="F424" t="s">
        <v>712</v>
      </c>
      <c r="G424">
        <v>35</v>
      </c>
      <c r="H424" t="s">
        <v>849</v>
      </c>
      <c r="I424" t="s">
        <v>25</v>
      </c>
      <c r="J424">
        <v>81</v>
      </c>
      <c r="K424">
        <v>104</v>
      </c>
      <c r="L424">
        <v>2.9</v>
      </c>
      <c r="M424" t="s">
        <v>14</v>
      </c>
      <c r="N424" s="2">
        <v>3883.26</v>
      </c>
      <c r="O424" s="2" t="str">
        <f>IF(EHR_Export[[#This Row],[Arrival Time]]&lt;=TIME(7,0,0), "Night", IF(EHR_Export[[#This Row],[Arrival Time]]&lt;TIME(15,0,0), "Day", "Evening"))</f>
        <v>Evening</v>
      </c>
      <c r="P424" cm="1">
        <f t="array" ref="P4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25" spans="1:16" x14ac:dyDescent="0.25">
      <c r="A425" t="s">
        <v>1586</v>
      </c>
      <c r="B425" s="1">
        <v>46070</v>
      </c>
      <c r="C425" s="4">
        <v>0.22291666666666668</v>
      </c>
      <c r="D425" t="s">
        <v>48</v>
      </c>
      <c r="E425" t="s">
        <v>42</v>
      </c>
      <c r="F425" t="s">
        <v>765</v>
      </c>
      <c r="G425">
        <v>36</v>
      </c>
      <c r="H425" t="s">
        <v>849</v>
      </c>
      <c r="I425" t="s">
        <v>25</v>
      </c>
      <c r="J425">
        <v>40</v>
      </c>
      <c r="K425">
        <v>26</v>
      </c>
      <c r="L425">
        <v>4.3</v>
      </c>
      <c r="M425" t="s">
        <v>14</v>
      </c>
      <c r="N425" s="2">
        <v>2007.49</v>
      </c>
      <c r="O425" s="2" t="str">
        <f>IF(EHR_Export[[#This Row],[Arrival Time]]&lt;=TIME(7,0,0), "Night", IF(EHR_Export[[#This Row],[Arrival Time]]&lt;TIME(15,0,0), "Day", "Evening"))</f>
        <v>Night</v>
      </c>
      <c r="P425" cm="1">
        <f t="array" ref="P4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26" spans="1:16" x14ac:dyDescent="0.25">
      <c r="A426" t="s">
        <v>850</v>
      </c>
      <c r="B426" s="1">
        <v>46071</v>
      </c>
      <c r="C426" s="4">
        <v>0.72083333333333333</v>
      </c>
      <c r="D426" t="s">
        <v>28</v>
      </c>
      <c r="E426" t="s">
        <v>23</v>
      </c>
      <c r="F426" t="s">
        <v>16</v>
      </c>
      <c r="G426">
        <v>42</v>
      </c>
      <c r="H426" t="s">
        <v>849</v>
      </c>
      <c r="I426" t="s">
        <v>34</v>
      </c>
      <c r="J426">
        <v>67</v>
      </c>
      <c r="K426">
        <v>66</v>
      </c>
      <c r="L426">
        <v>2.7</v>
      </c>
      <c r="M426" t="s">
        <v>14</v>
      </c>
      <c r="N426" s="2">
        <v>729.75</v>
      </c>
      <c r="O426" s="2" t="str">
        <f>IF(EHR_Export[[#This Row],[Arrival Time]]&lt;=TIME(7,0,0), "Night", IF(EHR_Export[[#This Row],[Arrival Time]]&lt;TIME(15,0,0), "Day", "Evening"))</f>
        <v>Evening</v>
      </c>
      <c r="P426" cm="1">
        <f t="array" ref="P4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427" spans="1:16" x14ac:dyDescent="0.25">
      <c r="A427" t="s">
        <v>908</v>
      </c>
      <c r="B427" s="1">
        <v>46071</v>
      </c>
      <c r="C427" s="4">
        <v>0.66527777777777775</v>
      </c>
      <c r="D427" t="s">
        <v>21</v>
      </c>
      <c r="E427" t="s">
        <v>53</v>
      </c>
      <c r="F427" t="s">
        <v>86</v>
      </c>
      <c r="G427">
        <v>55</v>
      </c>
      <c r="H427" t="s">
        <v>847</v>
      </c>
      <c r="I427" t="s">
        <v>38</v>
      </c>
      <c r="J427">
        <v>15</v>
      </c>
      <c r="K427">
        <v>27</v>
      </c>
      <c r="L427">
        <v>4.0999999999999996</v>
      </c>
      <c r="M427" t="s">
        <v>14</v>
      </c>
      <c r="N427" s="2">
        <v>472.04</v>
      </c>
      <c r="O427" s="2" t="str">
        <f>IF(EHR_Export[[#This Row],[Arrival Time]]&lt;=TIME(7,0,0), "Night", IF(EHR_Export[[#This Row],[Arrival Time]]&lt;TIME(15,0,0), "Day", "Evening"))</f>
        <v>Evening</v>
      </c>
      <c r="P427" cm="1">
        <f t="array" ref="P4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28" spans="1:16" x14ac:dyDescent="0.25">
      <c r="A428" t="s">
        <v>940</v>
      </c>
      <c r="B428" s="1">
        <v>46071</v>
      </c>
      <c r="C428" s="4">
        <v>0.29236111111111113</v>
      </c>
      <c r="D428" t="s">
        <v>126</v>
      </c>
      <c r="E428" t="s">
        <v>46</v>
      </c>
      <c r="F428" t="s">
        <v>118</v>
      </c>
      <c r="G428">
        <v>32</v>
      </c>
      <c r="H428" t="s">
        <v>847</v>
      </c>
      <c r="I428" t="s">
        <v>38</v>
      </c>
      <c r="J428">
        <v>34</v>
      </c>
      <c r="K428">
        <v>22</v>
      </c>
      <c r="L428">
        <v>4.2</v>
      </c>
      <c r="M428" t="s">
        <v>14</v>
      </c>
      <c r="N428" s="2">
        <v>1805.38</v>
      </c>
      <c r="O428" s="2" t="str">
        <f>IF(EHR_Export[[#This Row],[Arrival Time]]&lt;=TIME(7,0,0), "Night", IF(EHR_Export[[#This Row],[Arrival Time]]&lt;TIME(15,0,0), "Day", "Evening"))</f>
        <v>Day</v>
      </c>
      <c r="P428" cm="1">
        <f t="array" ref="P4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29" spans="1:16" x14ac:dyDescent="0.25">
      <c r="A429" t="s">
        <v>992</v>
      </c>
      <c r="B429" s="1">
        <v>46071</v>
      </c>
      <c r="C429" s="4">
        <v>0.58194444444444449</v>
      </c>
      <c r="D429" t="s">
        <v>21</v>
      </c>
      <c r="E429" t="s">
        <v>53</v>
      </c>
      <c r="F429" t="s">
        <v>171</v>
      </c>
      <c r="G429">
        <v>24</v>
      </c>
      <c r="H429" t="s">
        <v>847</v>
      </c>
      <c r="I429" t="s">
        <v>38</v>
      </c>
      <c r="J429">
        <v>39</v>
      </c>
      <c r="K429">
        <v>55</v>
      </c>
      <c r="L429">
        <v>3.4</v>
      </c>
      <c r="N429" s="2">
        <v>742.14</v>
      </c>
      <c r="O429" s="2" t="str">
        <f>IF(EHR_Export[[#This Row],[Arrival Time]]&lt;=TIME(7,0,0), "Night", IF(EHR_Export[[#This Row],[Arrival Time]]&lt;TIME(15,0,0), "Day", "Evening"))</f>
        <v>Day</v>
      </c>
      <c r="P429" cm="1">
        <f t="array" ref="P4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30" spans="1:16" x14ac:dyDescent="0.25">
      <c r="A430" t="s">
        <v>1003</v>
      </c>
      <c r="B430" s="1">
        <v>46071</v>
      </c>
      <c r="C430" s="4">
        <v>0.87361111111111112</v>
      </c>
      <c r="D430" t="s">
        <v>58</v>
      </c>
      <c r="E430" t="s">
        <v>842</v>
      </c>
      <c r="F430" t="s">
        <v>182</v>
      </c>
      <c r="G430">
        <v>48</v>
      </c>
      <c r="H430" t="s">
        <v>849</v>
      </c>
      <c r="I430" t="s">
        <v>34</v>
      </c>
      <c r="J430">
        <v>77</v>
      </c>
      <c r="K430">
        <v>105</v>
      </c>
      <c r="L430">
        <v>2.8</v>
      </c>
      <c r="M430" t="s">
        <v>14</v>
      </c>
      <c r="N430" s="2">
        <v>1846.98</v>
      </c>
      <c r="O430" s="2" t="str">
        <f>IF(EHR_Export[[#This Row],[Arrival Time]]&lt;=TIME(7,0,0), "Night", IF(EHR_Export[[#This Row],[Arrival Time]]&lt;TIME(15,0,0), "Day", "Evening"))</f>
        <v>Evening</v>
      </c>
      <c r="P430" cm="1">
        <f t="array" ref="P4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31" spans="1:16" x14ac:dyDescent="0.25">
      <c r="A431" t="s">
        <v>1062</v>
      </c>
      <c r="B431" s="1">
        <v>46071</v>
      </c>
      <c r="C431" s="4">
        <v>5.6250000000000001E-2</v>
      </c>
      <c r="D431" t="s">
        <v>126</v>
      </c>
      <c r="E431" t="s">
        <v>46</v>
      </c>
      <c r="F431" t="s">
        <v>241</v>
      </c>
      <c r="G431">
        <v>35</v>
      </c>
      <c r="H431" t="s">
        <v>849</v>
      </c>
      <c r="I431" t="s">
        <v>25</v>
      </c>
      <c r="J431">
        <v>46</v>
      </c>
      <c r="K431">
        <v>54</v>
      </c>
      <c r="L431">
        <v>4.9000000000000004</v>
      </c>
      <c r="M431" t="s">
        <v>18</v>
      </c>
      <c r="N431" s="2">
        <v>2018.83</v>
      </c>
      <c r="O431" s="2" t="str">
        <f>IF(EHR_Export[[#This Row],[Arrival Time]]&lt;=TIME(7,0,0), "Night", IF(EHR_Export[[#This Row],[Arrival Time]]&lt;TIME(15,0,0), "Day", "Evening"))</f>
        <v>Night</v>
      </c>
      <c r="P431" cm="1">
        <f t="array" ref="P4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32" spans="1:16" x14ac:dyDescent="0.25">
      <c r="A432" t="s">
        <v>1086</v>
      </c>
      <c r="B432" s="1">
        <v>46071</v>
      </c>
      <c r="C432" s="4">
        <v>0.54791666666666672</v>
      </c>
      <c r="D432" t="s">
        <v>21</v>
      </c>
      <c r="E432" t="s">
        <v>53</v>
      </c>
      <c r="F432" t="s">
        <v>265</v>
      </c>
      <c r="G432">
        <v>67</v>
      </c>
      <c r="H432" t="s">
        <v>849</v>
      </c>
      <c r="I432" t="s">
        <v>34</v>
      </c>
      <c r="J432">
        <v>43</v>
      </c>
      <c r="K432">
        <v>46</v>
      </c>
      <c r="L432">
        <v>4.5999999999999996</v>
      </c>
      <c r="M432" t="s">
        <v>14</v>
      </c>
      <c r="N432" s="2">
        <v>797.7</v>
      </c>
      <c r="O432" s="2" t="str">
        <f>IF(EHR_Export[[#This Row],[Arrival Time]]&lt;=TIME(7,0,0), "Night", IF(EHR_Export[[#This Row],[Arrival Time]]&lt;TIME(15,0,0), "Day", "Evening"))</f>
        <v>Day</v>
      </c>
      <c r="P432" cm="1">
        <f t="array" ref="P4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33" spans="1:16" x14ac:dyDescent="0.25">
      <c r="A433" t="s">
        <v>1184</v>
      </c>
      <c r="B433" s="1">
        <v>46071</v>
      </c>
      <c r="C433" s="4">
        <v>0.3972222222222222</v>
      </c>
      <c r="D433" t="s">
        <v>126</v>
      </c>
      <c r="E433" t="s">
        <v>46</v>
      </c>
      <c r="F433" t="s">
        <v>363</v>
      </c>
      <c r="G433">
        <v>30</v>
      </c>
      <c r="H433" t="s">
        <v>849</v>
      </c>
      <c r="I433" t="s">
        <v>38</v>
      </c>
      <c r="J433">
        <v>53</v>
      </c>
      <c r="K433">
        <v>23</v>
      </c>
      <c r="L433">
        <v>3.7</v>
      </c>
      <c r="M433" t="s">
        <v>18</v>
      </c>
      <c r="N433" s="2">
        <v>1550.96</v>
      </c>
      <c r="O433" s="2" t="str">
        <f>IF(EHR_Export[[#This Row],[Arrival Time]]&lt;=TIME(7,0,0), "Night", IF(EHR_Export[[#This Row],[Arrival Time]]&lt;TIME(15,0,0), "Day", "Evening"))</f>
        <v>Day</v>
      </c>
      <c r="P433" cm="1">
        <f t="array" ref="P4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34" spans="1:16" x14ac:dyDescent="0.25">
      <c r="A434" t="s">
        <v>1310</v>
      </c>
      <c r="B434" s="1">
        <v>46071</v>
      </c>
      <c r="C434" s="4">
        <v>0.36180555555555555</v>
      </c>
      <c r="D434" t="s">
        <v>58</v>
      </c>
      <c r="E434" t="s">
        <v>842</v>
      </c>
      <c r="F434" t="s">
        <v>489</v>
      </c>
      <c r="G434">
        <v>34</v>
      </c>
      <c r="H434" t="s">
        <v>847</v>
      </c>
      <c r="I434" t="s">
        <v>25</v>
      </c>
      <c r="J434">
        <v>56</v>
      </c>
      <c r="K434">
        <v>74</v>
      </c>
      <c r="L434">
        <v>3</v>
      </c>
      <c r="M434" t="s">
        <v>14</v>
      </c>
      <c r="N434" s="2">
        <v>2022.35</v>
      </c>
      <c r="O434" s="2" t="str">
        <f>IF(EHR_Export[[#This Row],[Arrival Time]]&lt;=TIME(7,0,0), "Night", IF(EHR_Export[[#This Row],[Arrival Time]]&lt;TIME(15,0,0), "Day", "Evening"))</f>
        <v>Day</v>
      </c>
      <c r="P434" cm="1">
        <f t="array" ref="P4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435" spans="1:16" x14ac:dyDescent="0.25">
      <c r="A435" t="s">
        <v>1548</v>
      </c>
      <c r="B435" s="1">
        <v>46071</v>
      </c>
      <c r="C435" s="4">
        <v>0.90694444444444444</v>
      </c>
      <c r="D435" t="s">
        <v>28</v>
      </c>
      <c r="E435" t="s">
        <v>23</v>
      </c>
      <c r="F435" t="s">
        <v>727</v>
      </c>
      <c r="G435">
        <v>150</v>
      </c>
      <c r="H435" t="s">
        <v>849</v>
      </c>
      <c r="I435" t="s">
        <v>38</v>
      </c>
      <c r="J435">
        <v>53</v>
      </c>
      <c r="K435">
        <v>45</v>
      </c>
      <c r="L435">
        <v>3.7</v>
      </c>
      <c r="M435" t="s">
        <v>14</v>
      </c>
      <c r="N435" s="2">
        <v>792.6</v>
      </c>
      <c r="O435" s="2" t="str">
        <f>IF(EHR_Export[[#This Row],[Arrival Time]]&lt;=TIME(7,0,0), "Night", IF(EHR_Export[[#This Row],[Arrival Time]]&lt;TIME(15,0,0), "Day", "Evening"))</f>
        <v>Evening</v>
      </c>
      <c r="P435" cm="1">
        <f t="array" ref="P4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436" spans="1:16" x14ac:dyDescent="0.25">
      <c r="A436" t="s">
        <v>1616</v>
      </c>
      <c r="B436" s="1">
        <v>46071</v>
      </c>
      <c r="C436" s="4">
        <v>0.65902777777777777</v>
      </c>
      <c r="D436" t="s">
        <v>21</v>
      </c>
      <c r="E436" t="s">
        <v>53</v>
      </c>
      <c r="F436" t="s">
        <v>795</v>
      </c>
      <c r="G436">
        <v>33</v>
      </c>
      <c r="H436" t="s">
        <v>847</v>
      </c>
      <c r="I436" t="s">
        <v>25</v>
      </c>
      <c r="J436">
        <v>52</v>
      </c>
      <c r="K436">
        <v>19</v>
      </c>
      <c r="L436">
        <v>4.4000000000000004</v>
      </c>
      <c r="M436" t="s">
        <v>14</v>
      </c>
      <c r="N436" s="2">
        <v>788.5</v>
      </c>
      <c r="O436" s="2" t="str">
        <f>IF(EHR_Export[[#This Row],[Arrival Time]]&lt;=TIME(7,0,0), "Night", IF(EHR_Export[[#This Row],[Arrival Time]]&lt;TIME(15,0,0), "Day", "Evening"))</f>
        <v>Evening</v>
      </c>
      <c r="P436" cm="1">
        <f t="array" ref="P4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37" spans="1:16" x14ac:dyDescent="0.25">
      <c r="A437" t="s">
        <v>1118</v>
      </c>
      <c r="B437" s="1">
        <v>46072</v>
      </c>
      <c r="C437" s="4">
        <v>0.79236111111111107</v>
      </c>
      <c r="D437" t="s">
        <v>21</v>
      </c>
      <c r="E437" t="s">
        <v>53</v>
      </c>
      <c r="F437" t="s">
        <v>297</v>
      </c>
      <c r="G437">
        <v>55</v>
      </c>
      <c r="H437" t="s">
        <v>849</v>
      </c>
      <c r="I437" t="s">
        <v>34</v>
      </c>
      <c r="J437">
        <v>54</v>
      </c>
      <c r="K437">
        <v>51</v>
      </c>
      <c r="L437">
        <v>3.9</v>
      </c>
      <c r="M437" t="s">
        <v>14</v>
      </c>
      <c r="N437" s="2">
        <v>906.99</v>
      </c>
      <c r="O437" s="2" t="str">
        <f>IF(EHR_Export[[#This Row],[Arrival Time]]&lt;=TIME(7,0,0), "Night", IF(EHR_Export[[#This Row],[Arrival Time]]&lt;TIME(15,0,0), "Day", "Evening"))</f>
        <v>Evening</v>
      </c>
      <c r="P437" cm="1">
        <f t="array" ref="P4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38" spans="1:16" x14ac:dyDescent="0.25">
      <c r="A438" t="s">
        <v>1368</v>
      </c>
      <c r="B438" s="1">
        <v>46072</v>
      </c>
      <c r="C438" s="4">
        <v>0.72222222222222221</v>
      </c>
      <c r="D438" t="s">
        <v>28</v>
      </c>
      <c r="E438" t="s">
        <v>23</v>
      </c>
      <c r="F438" t="s">
        <v>547</v>
      </c>
      <c r="G438">
        <v>43</v>
      </c>
      <c r="H438" t="s">
        <v>847</v>
      </c>
      <c r="I438" t="s">
        <v>25</v>
      </c>
      <c r="J438">
        <v>26</v>
      </c>
      <c r="K438">
        <v>28</v>
      </c>
      <c r="L438">
        <v>3.6</v>
      </c>
      <c r="M438" t="s">
        <v>14</v>
      </c>
      <c r="N438" s="2">
        <v>645.30999999999995</v>
      </c>
      <c r="O438" s="2" t="str">
        <f>IF(EHR_Export[[#This Row],[Arrival Time]]&lt;=TIME(7,0,0), "Night", IF(EHR_Export[[#This Row],[Arrival Time]]&lt;TIME(15,0,0), "Day", "Evening"))</f>
        <v>Evening</v>
      </c>
      <c r="P438" cm="1">
        <f t="array" ref="P4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39" spans="1:16" x14ac:dyDescent="0.25">
      <c r="A439" t="s">
        <v>1464</v>
      </c>
      <c r="B439" s="1">
        <v>46072</v>
      </c>
      <c r="C439" s="4">
        <v>0.53472222222222221</v>
      </c>
      <c r="D439" t="s">
        <v>21</v>
      </c>
      <c r="E439" t="s">
        <v>53</v>
      </c>
      <c r="F439" t="s">
        <v>643</v>
      </c>
      <c r="G439">
        <v>37</v>
      </c>
      <c r="H439" t="s">
        <v>847</v>
      </c>
      <c r="I439" t="s">
        <v>34</v>
      </c>
      <c r="J439">
        <v>40</v>
      </c>
      <c r="K439">
        <v>61</v>
      </c>
      <c r="L439">
        <v>3.1</v>
      </c>
      <c r="M439" t="s">
        <v>18</v>
      </c>
      <c r="N439" s="2">
        <v>769.34</v>
      </c>
      <c r="O439" s="2" t="str">
        <f>IF(EHR_Export[[#This Row],[Arrival Time]]&lt;=TIME(7,0,0), "Night", IF(EHR_Export[[#This Row],[Arrival Time]]&lt;TIME(15,0,0), "Day", "Evening"))</f>
        <v>Day</v>
      </c>
      <c r="P439" cm="1">
        <f t="array" ref="P4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40" spans="1:16" x14ac:dyDescent="0.25">
      <c r="A440" t="s">
        <v>1479</v>
      </c>
      <c r="B440" s="1">
        <v>46072</v>
      </c>
      <c r="C440" s="4">
        <v>0.6958333333333333</v>
      </c>
      <c r="D440" t="s">
        <v>28</v>
      </c>
      <c r="E440" t="s">
        <v>23</v>
      </c>
      <c r="F440" t="s">
        <v>658</v>
      </c>
      <c r="G440">
        <v>64</v>
      </c>
      <c r="H440" t="s">
        <v>849</v>
      </c>
      <c r="I440" t="s">
        <v>34</v>
      </c>
      <c r="J440">
        <v>68</v>
      </c>
      <c r="K440">
        <v>33</v>
      </c>
      <c r="L440">
        <v>3.5</v>
      </c>
      <c r="M440" t="s">
        <v>14</v>
      </c>
      <c r="N440" s="2">
        <v>990.46</v>
      </c>
      <c r="O440" s="2" t="str">
        <f>IF(EHR_Export[[#This Row],[Arrival Time]]&lt;=TIME(7,0,0), "Night", IF(EHR_Export[[#This Row],[Arrival Time]]&lt;TIME(15,0,0), "Day", "Evening"))</f>
        <v>Evening</v>
      </c>
      <c r="P440" cm="1">
        <f t="array" ref="P4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41" spans="1:16" x14ac:dyDescent="0.25">
      <c r="A441" t="s">
        <v>1488</v>
      </c>
      <c r="B441" s="1">
        <v>46072</v>
      </c>
      <c r="C441" s="4">
        <v>0.76458333333333328</v>
      </c>
      <c r="D441" t="s">
        <v>21</v>
      </c>
      <c r="E441" t="s">
        <v>53</v>
      </c>
      <c r="F441" t="s">
        <v>667</v>
      </c>
      <c r="G441">
        <v>59</v>
      </c>
      <c r="H441" t="s">
        <v>849</v>
      </c>
      <c r="I441" t="s">
        <v>38</v>
      </c>
      <c r="J441">
        <v>53</v>
      </c>
      <c r="K441">
        <v>38</v>
      </c>
      <c r="L441">
        <v>3.7</v>
      </c>
      <c r="M441" t="s">
        <v>14</v>
      </c>
      <c r="N441" s="2">
        <v>628.54</v>
      </c>
      <c r="O441" s="2" t="str">
        <f>IF(EHR_Export[[#This Row],[Arrival Time]]&lt;=TIME(7,0,0), "Night", IF(EHR_Export[[#This Row],[Arrival Time]]&lt;TIME(15,0,0), "Day", "Evening"))</f>
        <v>Evening</v>
      </c>
      <c r="P441" cm="1">
        <f t="array" ref="P4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42" spans="1:16" x14ac:dyDescent="0.25">
      <c r="A442" t="s">
        <v>891</v>
      </c>
      <c r="B442" s="1">
        <v>46073</v>
      </c>
      <c r="C442" s="4">
        <v>0.30277777777777776</v>
      </c>
      <c r="D442" t="s">
        <v>58</v>
      </c>
      <c r="E442" t="s">
        <v>842</v>
      </c>
      <c r="F442" t="s">
        <v>69</v>
      </c>
      <c r="G442">
        <v>47</v>
      </c>
      <c r="H442" t="s">
        <v>847</v>
      </c>
      <c r="I442" t="s">
        <v>34</v>
      </c>
      <c r="J442">
        <v>36</v>
      </c>
      <c r="K442">
        <v>71</v>
      </c>
      <c r="M442" t="s">
        <v>14</v>
      </c>
      <c r="N442" s="2">
        <v>4000.04</v>
      </c>
      <c r="O442" s="2" t="str">
        <f>IF(EHR_Export[[#This Row],[Arrival Time]]&lt;=TIME(7,0,0), "Night", IF(EHR_Export[[#This Row],[Arrival Time]]&lt;TIME(15,0,0), "Day", "Evening"))</f>
        <v>Day</v>
      </c>
      <c r="P442" cm="1">
        <f t="array" ref="P4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43" spans="1:16" x14ac:dyDescent="0.25">
      <c r="A443" t="s">
        <v>1015</v>
      </c>
      <c r="B443" s="1">
        <v>46073</v>
      </c>
      <c r="C443" s="4">
        <v>0.78055555555555556</v>
      </c>
      <c r="D443" t="s">
        <v>58</v>
      </c>
      <c r="E443" t="s">
        <v>842</v>
      </c>
      <c r="F443" t="s">
        <v>194</v>
      </c>
      <c r="G443">
        <v>91</v>
      </c>
      <c r="H443" t="s">
        <v>849</v>
      </c>
      <c r="I443" t="s">
        <v>25</v>
      </c>
      <c r="J443">
        <v>72</v>
      </c>
      <c r="K443">
        <v>99</v>
      </c>
      <c r="L443">
        <v>3.5</v>
      </c>
      <c r="M443" t="s">
        <v>14</v>
      </c>
      <c r="N443" s="2">
        <v>2426.13</v>
      </c>
      <c r="O443" s="2" t="str">
        <f>IF(EHR_Export[[#This Row],[Arrival Time]]&lt;=TIME(7,0,0), "Night", IF(EHR_Export[[#This Row],[Arrival Time]]&lt;TIME(15,0,0), "Day", "Evening"))</f>
        <v>Evening</v>
      </c>
      <c r="P443" cm="1">
        <f t="array" ref="P4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44" spans="1:16" x14ac:dyDescent="0.25">
      <c r="A444" t="s">
        <v>1022</v>
      </c>
      <c r="B444" s="1">
        <v>46073</v>
      </c>
      <c r="C444" s="4">
        <v>0.82499999999999996</v>
      </c>
      <c r="D444" t="s">
        <v>126</v>
      </c>
      <c r="E444" t="s">
        <v>46</v>
      </c>
      <c r="F444" t="s">
        <v>201</v>
      </c>
      <c r="G444">
        <v>60</v>
      </c>
      <c r="H444" t="s">
        <v>849</v>
      </c>
      <c r="I444" t="s">
        <v>25</v>
      </c>
      <c r="J444">
        <v>39</v>
      </c>
      <c r="K444">
        <v>44</v>
      </c>
      <c r="L444">
        <v>3.9</v>
      </c>
      <c r="M444" t="s">
        <v>14</v>
      </c>
      <c r="N444" s="2">
        <v>1572.36</v>
      </c>
      <c r="O444" s="2" t="str">
        <f>IF(EHR_Export[[#This Row],[Arrival Time]]&lt;=TIME(7,0,0), "Night", IF(EHR_Export[[#This Row],[Arrival Time]]&lt;TIME(15,0,0), "Day", "Evening"))</f>
        <v>Evening</v>
      </c>
      <c r="P444" cm="1">
        <f t="array" ref="P4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45" spans="1:16" x14ac:dyDescent="0.25">
      <c r="A445" t="s">
        <v>1115</v>
      </c>
      <c r="B445" s="1">
        <v>46073</v>
      </c>
      <c r="C445" s="4">
        <v>0.61736111111111114</v>
      </c>
      <c r="D445" t="s">
        <v>28</v>
      </c>
      <c r="E445" t="s">
        <v>23</v>
      </c>
      <c r="F445" t="s">
        <v>294</v>
      </c>
      <c r="G445">
        <v>61</v>
      </c>
      <c r="H445" t="s">
        <v>849</v>
      </c>
      <c r="I445" t="s">
        <v>13</v>
      </c>
      <c r="J445">
        <v>45</v>
      </c>
      <c r="K445">
        <v>10</v>
      </c>
      <c r="L445">
        <v>3.4</v>
      </c>
      <c r="M445" t="s">
        <v>14</v>
      </c>
      <c r="N445" s="2">
        <v>680.04</v>
      </c>
      <c r="O445" s="2" t="str">
        <f>IF(EHR_Export[[#This Row],[Arrival Time]]&lt;=TIME(7,0,0), "Night", IF(EHR_Export[[#This Row],[Arrival Time]]&lt;TIME(15,0,0), "Day", "Evening"))</f>
        <v>Day</v>
      </c>
      <c r="P445" cm="1">
        <f t="array" ref="P4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46" spans="1:16" x14ac:dyDescent="0.25">
      <c r="A446" t="s">
        <v>1200</v>
      </c>
      <c r="B446" s="1">
        <v>46073</v>
      </c>
      <c r="C446" s="4">
        <v>0.3923611111111111</v>
      </c>
      <c r="D446" t="s">
        <v>48</v>
      </c>
      <c r="E446" t="s">
        <v>42</v>
      </c>
      <c r="F446" t="s">
        <v>379</v>
      </c>
      <c r="G446">
        <v>66</v>
      </c>
      <c r="H446" t="s">
        <v>849</v>
      </c>
      <c r="I446" t="s">
        <v>13</v>
      </c>
      <c r="J446">
        <v>35</v>
      </c>
      <c r="K446">
        <v>56</v>
      </c>
      <c r="L446">
        <v>3.2</v>
      </c>
      <c r="M446" t="s">
        <v>14</v>
      </c>
      <c r="N446" s="2">
        <v>1377.35</v>
      </c>
      <c r="O446" s="2" t="str">
        <f>IF(EHR_Export[[#This Row],[Arrival Time]]&lt;=TIME(7,0,0), "Night", IF(EHR_Export[[#This Row],[Arrival Time]]&lt;TIME(15,0,0), "Day", "Evening"))</f>
        <v>Day</v>
      </c>
      <c r="P446" cm="1">
        <f t="array" ref="P4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47" spans="1:16" x14ac:dyDescent="0.25">
      <c r="A447" t="s">
        <v>1345</v>
      </c>
      <c r="B447" s="1">
        <v>46073</v>
      </c>
      <c r="C447" s="4">
        <v>0.80763888888888891</v>
      </c>
      <c r="D447" t="s">
        <v>28</v>
      </c>
      <c r="E447" t="s">
        <v>23</v>
      </c>
      <c r="F447" t="s">
        <v>524</v>
      </c>
      <c r="G447">
        <v>150</v>
      </c>
      <c r="H447" t="s">
        <v>849</v>
      </c>
      <c r="I447" t="s">
        <v>34</v>
      </c>
      <c r="J447">
        <v>56</v>
      </c>
      <c r="K447">
        <v>49</v>
      </c>
      <c r="M447" t="s">
        <v>14</v>
      </c>
      <c r="N447" s="2">
        <v>777.84</v>
      </c>
      <c r="O447" s="2" t="str">
        <f>IF(EHR_Export[[#This Row],[Arrival Time]]&lt;=TIME(7,0,0), "Night", IF(EHR_Export[[#This Row],[Arrival Time]]&lt;TIME(15,0,0), "Day", "Evening"))</f>
        <v>Evening</v>
      </c>
      <c r="P447" cm="1">
        <f t="array" ref="P4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448" spans="1:16" x14ac:dyDescent="0.25">
      <c r="A448" t="s">
        <v>1494</v>
      </c>
      <c r="B448" s="1">
        <v>46073</v>
      </c>
      <c r="C448" s="4">
        <v>0.61875000000000002</v>
      </c>
      <c r="D448" t="s">
        <v>21</v>
      </c>
      <c r="E448" t="s">
        <v>53</v>
      </c>
      <c r="F448" t="s">
        <v>673</v>
      </c>
      <c r="G448">
        <v>47</v>
      </c>
      <c r="H448" t="s">
        <v>849</v>
      </c>
      <c r="I448" t="s">
        <v>34</v>
      </c>
      <c r="J448">
        <v>46</v>
      </c>
      <c r="K448">
        <v>19</v>
      </c>
      <c r="L448">
        <v>2.9</v>
      </c>
      <c r="M448" t="s">
        <v>14</v>
      </c>
      <c r="N448" s="2">
        <v>768.69</v>
      </c>
      <c r="O448" s="2" t="str">
        <f>IF(EHR_Export[[#This Row],[Arrival Time]]&lt;=TIME(7,0,0), "Night", IF(EHR_Export[[#This Row],[Arrival Time]]&lt;TIME(15,0,0), "Day", "Evening"))</f>
        <v>Day</v>
      </c>
      <c r="P448" cm="1">
        <f t="array" ref="P4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49" spans="1:16" x14ac:dyDescent="0.25">
      <c r="A449" t="s">
        <v>1537</v>
      </c>
      <c r="B449" s="1">
        <v>46073</v>
      </c>
      <c r="C449" s="4">
        <v>0.52430555555555558</v>
      </c>
      <c r="D449" t="s">
        <v>28</v>
      </c>
      <c r="E449" t="s">
        <v>23</v>
      </c>
      <c r="F449" t="s">
        <v>716</v>
      </c>
      <c r="G449">
        <v>14</v>
      </c>
      <c r="H449" t="s">
        <v>847</v>
      </c>
      <c r="I449" t="s">
        <v>25</v>
      </c>
      <c r="J449">
        <v>45</v>
      </c>
      <c r="K449">
        <v>70</v>
      </c>
      <c r="L449">
        <v>4.2</v>
      </c>
      <c r="M449" t="s">
        <v>14</v>
      </c>
      <c r="O449" s="2" t="str">
        <f>IF(EHR_Export[[#This Row],[Arrival Time]]&lt;=TIME(7,0,0), "Night", IF(EHR_Export[[#This Row],[Arrival Time]]&lt;TIME(15,0,0), "Day", "Evening"))</f>
        <v>Day</v>
      </c>
      <c r="P449" cm="1">
        <f t="array" ref="P4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50" spans="1:16" x14ac:dyDescent="0.25">
      <c r="A450" t="s">
        <v>857</v>
      </c>
      <c r="B450" s="1">
        <v>46074</v>
      </c>
      <c r="C450" s="4">
        <v>0.88888888888888884</v>
      </c>
      <c r="D450" t="s">
        <v>126</v>
      </c>
      <c r="E450" t="s">
        <v>46</v>
      </c>
      <c r="F450" t="s">
        <v>27</v>
      </c>
      <c r="G450">
        <v>31</v>
      </c>
      <c r="H450" t="s">
        <v>847</v>
      </c>
      <c r="I450" t="s">
        <v>13</v>
      </c>
      <c r="J450">
        <v>57</v>
      </c>
      <c r="K450">
        <v>39</v>
      </c>
      <c r="L450">
        <v>3.2</v>
      </c>
      <c r="M450" t="s">
        <v>14</v>
      </c>
      <c r="N450" s="2">
        <v>769.57</v>
      </c>
      <c r="O450" s="2" t="str">
        <f>IF(EHR_Export[[#This Row],[Arrival Time]]&lt;=TIME(7,0,0), "Night", IF(EHR_Export[[#This Row],[Arrival Time]]&lt;TIME(15,0,0), "Day", "Evening"))</f>
        <v>Evening</v>
      </c>
      <c r="P450" cm="1">
        <f t="array" ref="P4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51" spans="1:16" x14ac:dyDescent="0.25">
      <c r="A451" t="s">
        <v>947</v>
      </c>
      <c r="B451" s="1">
        <v>46074</v>
      </c>
      <c r="C451" s="4">
        <v>9.0277777777777769E-3</v>
      </c>
      <c r="D451" t="s">
        <v>126</v>
      </c>
      <c r="E451" t="s">
        <v>46</v>
      </c>
      <c r="F451" t="s">
        <v>125</v>
      </c>
      <c r="G451">
        <v>51</v>
      </c>
      <c r="H451" t="s">
        <v>847</v>
      </c>
      <c r="I451" t="s">
        <v>38</v>
      </c>
      <c r="J451">
        <v>54</v>
      </c>
      <c r="K451">
        <v>35</v>
      </c>
      <c r="L451">
        <v>4.9000000000000004</v>
      </c>
      <c r="M451" t="s">
        <v>14</v>
      </c>
      <c r="N451" s="2">
        <v>1973.89</v>
      </c>
      <c r="O451" s="2" t="str">
        <f>IF(EHR_Export[[#This Row],[Arrival Time]]&lt;=TIME(7,0,0), "Night", IF(EHR_Export[[#This Row],[Arrival Time]]&lt;TIME(15,0,0), "Day", "Evening"))</f>
        <v>Night</v>
      </c>
      <c r="P451" cm="1">
        <f t="array" ref="P4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52" spans="1:16" x14ac:dyDescent="0.25">
      <c r="A452" t="s">
        <v>1049</v>
      </c>
      <c r="B452" s="1">
        <v>46074</v>
      </c>
      <c r="C452" s="4">
        <v>0.5541666666666667</v>
      </c>
      <c r="D452" t="s">
        <v>48</v>
      </c>
      <c r="E452" t="s">
        <v>42</v>
      </c>
      <c r="F452" t="s">
        <v>228</v>
      </c>
      <c r="G452">
        <v>57</v>
      </c>
      <c r="H452" t="s">
        <v>847</v>
      </c>
      <c r="I452" t="s">
        <v>34</v>
      </c>
      <c r="J452">
        <v>54</v>
      </c>
      <c r="K452">
        <v>46</v>
      </c>
      <c r="L452">
        <v>3.6</v>
      </c>
      <c r="M452" t="s">
        <v>14</v>
      </c>
      <c r="N452" s="2">
        <v>1013.21</v>
      </c>
      <c r="O452" s="2" t="str">
        <f>IF(EHR_Export[[#This Row],[Arrival Time]]&lt;=TIME(7,0,0), "Night", IF(EHR_Export[[#This Row],[Arrival Time]]&lt;TIME(15,0,0), "Day", "Evening"))</f>
        <v>Day</v>
      </c>
      <c r="P452" cm="1">
        <f t="array" ref="P4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53" spans="1:16" x14ac:dyDescent="0.25">
      <c r="A453" t="s">
        <v>1235</v>
      </c>
      <c r="B453" s="1">
        <v>46074</v>
      </c>
      <c r="C453" s="4">
        <v>5.9722222222222225E-2</v>
      </c>
      <c r="D453" t="s">
        <v>58</v>
      </c>
      <c r="E453" t="s">
        <v>842</v>
      </c>
      <c r="F453" t="s">
        <v>414</v>
      </c>
      <c r="G453">
        <v>46</v>
      </c>
      <c r="H453" t="s">
        <v>847</v>
      </c>
      <c r="I453" t="s">
        <v>38</v>
      </c>
      <c r="J453">
        <v>82</v>
      </c>
      <c r="K453">
        <v>94</v>
      </c>
      <c r="L453">
        <v>2.5</v>
      </c>
      <c r="M453" t="s">
        <v>14</v>
      </c>
      <c r="N453" s="2">
        <v>2189.96</v>
      </c>
      <c r="O453" s="2" t="str">
        <f>IF(EHR_Export[[#This Row],[Arrival Time]]&lt;=TIME(7,0,0), "Night", IF(EHR_Export[[#This Row],[Arrival Time]]&lt;TIME(15,0,0), "Day", "Evening"))</f>
        <v>Night</v>
      </c>
      <c r="P453" cm="1">
        <f t="array" ref="P4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454" spans="1:16" x14ac:dyDescent="0.25">
      <c r="A454" t="s">
        <v>1273</v>
      </c>
      <c r="B454" s="1">
        <v>46074</v>
      </c>
      <c r="C454" s="4">
        <v>0.79236111111111107</v>
      </c>
      <c r="D454" t="s">
        <v>126</v>
      </c>
      <c r="E454" t="s">
        <v>46</v>
      </c>
      <c r="F454" t="s">
        <v>452</v>
      </c>
      <c r="G454">
        <v>21</v>
      </c>
      <c r="H454" t="s">
        <v>849</v>
      </c>
      <c r="I454" t="s">
        <v>38</v>
      </c>
      <c r="J454">
        <v>71</v>
      </c>
      <c r="K454">
        <v>58</v>
      </c>
      <c r="L454">
        <v>2.9</v>
      </c>
      <c r="M454" t="s">
        <v>14</v>
      </c>
      <c r="O454" s="2" t="str">
        <f>IF(EHR_Export[[#This Row],[Arrival Time]]&lt;=TIME(7,0,0), "Night", IF(EHR_Export[[#This Row],[Arrival Time]]&lt;TIME(15,0,0), "Day", "Evening"))</f>
        <v>Evening</v>
      </c>
      <c r="P454" cm="1">
        <f t="array" ref="P4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55" spans="1:16" x14ac:dyDescent="0.25">
      <c r="A455" t="s">
        <v>1350</v>
      </c>
      <c r="B455" s="1">
        <v>46074</v>
      </c>
      <c r="C455" s="4">
        <v>0.78472222222222221</v>
      </c>
      <c r="D455" t="s">
        <v>126</v>
      </c>
      <c r="E455" t="s">
        <v>46</v>
      </c>
      <c r="F455" t="s">
        <v>529</v>
      </c>
      <c r="G455">
        <v>52</v>
      </c>
      <c r="H455" t="s">
        <v>849</v>
      </c>
      <c r="I455" t="s">
        <v>38</v>
      </c>
      <c r="J455">
        <v>62</v>
      </c>
      <c r="K455">
        <v>52</v>
      </c>
      <c r="L455">
        <v>3.1</v>
      </c>
      <c r="M455" t="s">
        <v>14</v>
      </c>
      <c r="N455" s="2">
        <v>1000.43</v>
      </c>
      <c r="O455" s="2" t="str">
        <f>IF(EHR_Export[[#This Row],[Arrival Time]]&lt;=TIME(7,0,0), "Night", IF(EHR_Export[[#This Row],[Arrival Time]]&lt;TIME(15,0,0), "Day", "Evening"))</f>
        <v>Evening</v>
      </c>
      <c r="P455" cm="1">
        <f t="array" ref="P4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56" spans="1:16" x14ac:dyDescent="0.25">
      <c r="A456" t="s">
        <v>1358</v>
      </c>
      <c r="B456" s="1">
        <v>46074</v>
      </c>
      <c r="C456" s="4">
        <v>0.78749999999999998</v>
      </c>
      <c r="D456" t="s">
        <v>48</v>
      </c>
      <c r="E456" t="s">
        <v>42</v>
      </c>
      <c r="F456" t="s">
        <v>537</v>
      </c>
      <c r="G456">
        <v>31</v>
      </c>
      <c r="H456" t="s">
        <v>849</v>
      </c>
      <c r="I456" t="s">
        <v>38</v>
      </c>
      <c r="J456">
        <v>104</v>
      </c>
      <c r="K456">
        <v>32</v>
      </c>
      <c r="L456">
        <v>1.7</v>
      </c>
      <c r="M456" t="s">
        <v>14</v>
      </c>
      <c r="N456" s="2">
        <v>2219.81</v>
      </c>
      <c r="O456" s="2" t="str">
        <f>IF(EHR_Export[[#This Row],[Arrival Time]]&lt;=TIME(7,0,0), "Night", IF(EHR_Export[[#This Row],[Arrival Time]]&lt;TIME(15,0,0), "Day", "Evening"))</f>
        <v>Evening</v>
      </c>
      <c r="P456" cm="1">
        <f t="array" ref="P4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457" spans="1:16" x14ac:dyDescent="0.25">
      <c r="A457" t="s">
        <v>1439</v>
      </c>
      <c r="B457" s="1">
        <v>46074</v>
      </c>
      <c r="C457" s="4">
        <v>0.60486111111111107</v>
      </c>
      <c r="D457" t="s">
        <v>126</v>
      </c>
      <c r="E457" t="s">
        <v>46</v>
      </c>
      <c r="F457" t="s">
        <v>618</v>
      </c>
      <c r="G457">
        <v>60</v>
      </c>
      <c r="H457" t="s">
        <v>847</v>
      </c>
      <c r="I457" t="s">
        <v>38</v>
      </c>
      <c r="J457">
        <v>50</v>
      </c>
      <c r="K457">
        <v>44</v>
      </c>
      <c r="L457">
        <v>3.4</v>
      </c>
      <c r="N457" s="2">
        <v>1992.82</v>
      </c>
      <c r="O457" s="2" t="str">
        <f>IF(EHR_Export[[#This Row],[Arrival Time]]&lt;=TIME(7,0,0), "Night", IF(EHR_Export[[#This Row],[Arrival Time]]&lt;TIME(15,0,0), "Day", "Evening"))</f>
        <v>Day</v>
      </c>
      <c r="P457" cm="1">
        <f t="array" ref="P4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58" spans="1:16" x14ac:dyDescent="0.25">
      <c r="A458" t="s">
        <v>1358</v>
      </c>
      <c r="B458" s="1">
        <v>46074</v>
      </c>
      <c r="C458" s="4">
        <v>0.78749999999999998</v>
      </c>
      <c r="D458" t="s">
        <v>48</v>
      </c>
      <c r="E458" t="s">
        <v>42</v>
      </c>
      <c r="F458" t="s">
        <v>537</v>
      </c>
      <c r="G458">
        <v>31</v>
      </c>
      <c r="H458" t="s">
        <v>849</v>
      </c>
      <c r="I458" t="s">
        <v>38</v>
      </c>
      <c r="J458">
        <v>104</v>
      </c>
      <c r="K458">
        <v>32</v>
      </c>
      <c r="L458">
        <v>1.7</v>
      </c>
      <c r="M458" t="s">
        <v>14</v>
      </c>
      <c r="N458" s="2">
        <v>2219.81</v>
      </c>
      <c r="O458" s="2" t="str">
        <f>IF(EHR_Export[[#This Row],[Arrival Time]]&lt;=TIME(7,0,0), "Night", IF(EHR_Export[[#This Row],[Arrival Time]]&lt;TIME(15,0,0), "Day", "Evening"))</f>
        <v>Evening</v>
      </c>
      <c r="P458" cm="1">
        <f t="array" ref="P4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459" spans="1:16" x14ac:dyDescent="0.25">
      <c r="A459" t="s">
        <v>856</v>
      </c>
      <c r="B459" s="1">
        <v>46075</v>
      </c>
      <c r="C459" s="4">
        <v>0.43611111111111112</v>
      </c>
      <c r="D459" t="s">
        <v>28</v>
      </c>
      <c r="E459" t="s">
        <v>23</v>
      </c>
      <c r="F459" t="s">
        <v>26</v>
      </c>
      <c r="G459">
        <v>47</v>
      </c>
      <c r="H459" t="s">
        <v>847</v>
      </c>
      <c r="I459" t="s">
        <v>25</v>
      </c>
      <c r="J459">
        <v>61</v>
      </c>
      <c r="K459">
        <v>30</v>
      </c>
      <c r="L459">
        <v>4</v>
      </c>
      <c r="M459" t="s">
        <v>14</v>
      </c>
      <c r="N459" s="2">
        <v>792.21</v>
      </c>
      <c r="O459" s="2" t="str">
        <f>IF(EHR_Export[[#This Row],[Arrival Time]]&lt;=TIME(7,0,0), "Night", IF(EHR_Export[[#This Row],[Arrival Time]]&lt;TIME(15,0,0), "Day", "Evening"))</f>
        <v>Day</v>
      </c>
      <c r="P459" cm="1">
        <f t="array" ref="P4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60" spans="1:16" x14ac:dyDescent="0.25">
      <c r="A460" t="s">
        <v>985</v>
      </c>
      <c r="B460" s="1">
        <v>46075</v>
      </c>
      <c r="C460" s="4">
        <v>0.64652777777777781</v>
      </c>
      <c r="D460" t="s">
        <v>28</v>
      </c>
      <c r="E460" t="s">
        <v>23</v>
      </c>
      <c r="F460" t="s">
        <v>164</v>
      </c>
      <c r="G460">
        <v>26</v>
      </c>
      <c r="H460" t="s">
        <v>847</v>
      </c>
      <c r="I460" t="s">
        <v>13</v>
      </c>
      <c r="J460">
        <v>57</v>
      </c>
      <c r="K460">
        <v>75</v>
      </c>
      <c r="L460">
        <v>3.6</v>
      </c>
      <c r="M460" t="s">
        <v>14</v>
      </c>
      <c r="N460" s="2">
        <v>778.96</v>
      </c>
      <c r="O460" s="2" t="str">
        <f>IF(EHR_Export[[#This Row],[Arrival Time]]&lt;=TIME(7,0,0), "Night", IF(EHR_Export[[#This Row],[Arrival Time]]&lt;TIME(15,0,0), "Day", "Evening"))</f>
        <v>Evening</v>
      </c>
      <c r="P460" cm="1">
        <f t="array" ref="P4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461" spans="1:16" x14ac:dyDescent="0.25">
      <c r="A461" t="s">
        <v>1034</v>
      </c>
      <c r="B461" s="1">
        <v>46075</v>
      </c>
      <c r="C461" s="4">
        <v>0.65486111111111112</v>
      </c>
      <c r="D461" t="s">
        <v>21</v>
      </c>
      <c r="E461" t="s">
        <v>53</v>
      </c>
      <c r="F461" t="s">
        <v>213</v>
      </c>
      <c r="G461">
        <v>32</v>
      </c>
      <c r="H461" t="s">
        <v>849</v>
      </c>
      <c r="I461" t="s">
        <v>34</v>
      </c>
      <c r="J461">
        <v>41</v>
      </c>
      <c r="K461">
        <v>39</v>
      </c>
      <c r="M461" t="s">
        <v>14</v>
      </c>
      <c r="N461" s="2">
        <v>573.55999999999995</v>
      </c>
      <c r="O461" s="2" t="str">
        <f>IF(EHR_Export[[#This Row],[Arrival Time]]&lt;=TIME(7,0,0), "Night", IF(EHR_Export[[#This Row],[Arrival Time]]&lt;TIME(15,0,0), "Day", "Evening"))</f>
        <v>Evening</v>
      </c>
      <c r="P461" cm="1">
        <f t="array" ref="P4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62" spans="1:16" x14ac:dyDescent="0.25">
      <c r="A462" t="s">
        <v>1047</v>
      </c>
      <c r="B462" s="1">
        <v>46075</v>
      </c>
      <c r="C462" s="4">
        <v>0.45347222222222222</v>
      </c>
      <c r="D462" t="s">
        <v>58</v>
      </c>
      <c r="E462" t="s">
        <v>842</v>
      </c>
      <c r="F462" t="s">
        <v>226</v>
      </c>
      <c r="G462">
        <v>1</v>
      </c>
      <c r="H462" t="s">
        <v>849</v>
      </c>
      <c r="I462" t="s">
        <v>25</v>
      </c>
      <c r="J462">
        <v>62</v>
      </c>
      <c r="K462">
        <v>111</v>
      </c>
      <c r="L462">
        <v>3.3</v>
      </c>
      <c r="M462" t="s">
        <v>14</v>
      </c>
      <c r="O462" s="2" t="str">
        <f>IF(EHR_Export[[#This Row],[Arrival Time]]&lt;=TIME(7,0,0), "Night", IF(EHR_Export[[#This Row],[Arrival Time]]&lt;TIME(15,0,0), "Day", "Evening"))</f>
        <v>Day</v>
      </c>
      <c r="P462" cm="1">
        <f t="array" ref="P4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63" spans="1:16" x14ac:dyDescent="0.25">
      <c r="A463" t="s">
        <v>1084</v>
      </c>
      <c r="B463" s="1">
        <v>46075</v>
      </c>
      <c r="C463" s="4">
        <v>0.17986111111111111</v>
      </c>
      <c r="D463" t="s">
        <v>28</v>
      </c>
      <c r="E463" t="s">
        <v>23</v>
      </c>
      <c r="F463" t="s">
        <v>263</v>
      </c>
      <c r="G463">
        <v>83</v>
      </c>
      <c r="H463" t="s">
        <v>847</v>
      </c>
      <c r="I463" t="s">
        <v>38</v>
      </c>
      <c r="J463">
        <v>58</v>
      </c>
      <c r="K463">
        <v>31</v>
      </c>
      <c r="L463">
        <v>3.5</v>
      </c>
      <c r="M463" t="s">
        <v>14</v>
      </c>
      <c r="N463" s="2">
        <v>642.09</v>
      </c>
      <c r="O463" s="2" t="str">
        <f>IF(EHR_Export[[#This Row],[Arrival Time]]&lt;=TIME(7,0,0), "Night", IF(EHR_Export[[#This Row],[Arrival Time]]&lt;TIME(15,0,0), "Day", "Evening"))</f>
        <v>Night</v>
      </c>
      <c r="P463" cm="1">
        <f t="array" ref="P4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464" spans="1:16" x14ac:dyDescent="0.25">
      <c r="A464" t="s">
        <v>1179</v>
      </c>
      <c r="B464" s="1">
        <v>46075</v>
      </c>
      <c r="C464" s="4">
        <v>0.20347222222222222</v>
      </c>
      <c r="D464" t="s">
        <v>58</v>
      </c>
      <c r="E464" t="s">
        <v>842</v>
      </c>
      <c r="F464" t="s">
        <v>358</v>
      </c>
      <c r="G464">
        <v>76</v>
      </c>
      <c r="H464" t="s">
        <v>849</v>
      </c>
      <c r="I464" t="s">
        <v>38</v>
      </c>
      <c r="J464">
        <v>56</v>
      </c>
      <c r="K464">
        <v>85</v>
      </c>
      <c r="L464">
        <v>4.8</v>
      </c>
      <c r="M464" t="s">
        <v>18</v>
      </c>
      <c r="N464" s="2">
        <v>2801</v>
      </c>
      <c r="O464" s="2" t="str">
        <f>IF(EHR_Export[[#This Row],[Arrival Time]]&lt;=TIME(7,0,0), "Night", IF(EHR_Export[[#This Row],[Arrival Time]]&lt;TIME(15,0,0), "Day", "Evening"))</f>
        <v>Night</v>
      </c>
      <c r="P464" cm="1">
        <f t="array" ref="P4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465" spans="1:16" x14ac:dyDescent="0.25">
      <c r="A465" t="s">
        <v>1247</v>
      </c>
      <c r="B465" s="1">
        <v>46075</v>
      </c>
      <c r="C465" s="4">
        <v>0.6645833333333333</v>
      </c>
      <c r="D465" t="s">
        <v>28</v>
      </c>
      <c r="E465" t="s">
        <v>23</v>
      </c>
      <c r="F465" t="s">
        <v>426</v>
      </c>
      <c r="G465">
        <v>27</v>
      </c>
      <c r="H465" t="s">
        <v>849</v>
      </c>
      <c r="I465" t="s">
        <v>34</v>
      </c>
      <c r="J465">
        <v>46</v>
      </c>
      <c r="K465">
        <v>44</v>
      </c>
      <c r="L465">
        <v>4.4000000000000004</v>
      </c>
      <c r="M465" t="s">
        <v>14</v>
      </c>
      <c r="N465" s="2">
        <v>555.74</v>
      </c>
      <c r="O465" s="2" t="str">
        <f>IF(EHR_Export[[#This Row],[Arrival Time]]&lt;=TIME(7,0,0), "Night", IF(EHR_Export[[#This Row],[Arrival Time]]&lt;TIME(15,0,0), "Day", "Evening"))</f>
        <v>Evening</v>
      </c>
      <c r="P465" cm="1">
        <f t="array" ref="P4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466" spans="1:16" x14ac:dyDescent="0.25">
      <c r="A466" t="s">
        <v>1509</v>
      </c>
      <c r="B466" s="1">
        <v>46075</v>
      </c>
      <c r="C466" s="4">
        <v>0.41249999999999998</v>
      </c>
      <c r="D466" t="s">
        <v>28</v>
      </c>
      <c r="E466" t="s">
        <v>23</v>
      </c>
      <c r="F466" t="s">
        <v>688</v>
      </c>
      <c r="G466">
        <v>30</v>
      </c>
      <c r="H466" t="s">
        <v>849</v>
      </c>
      <c r="I466" t="s">
        <v>25</v>
      </c>
      <c r="J466">
        <v>54</v>
      </c>
      <c r="K466">
        <v>58</v>
      </c>
      <c r="L466">
        <v>3.3</v>
      </c>
      <c r="M466" t="s">
        <v>14</v>
      </c>
      <c r="O466" s="2" t="str">
        <f>IF(EHR_Export[[#This Row],[Arrival Time]]&lt;=TIME(7,0,0), "Night", IF(EHR_Export[[#This Row],[Arrival Time]]&lt;TIME(15,0,0), "Day", "Evening"))</f>
        <v>Day</v>
      </c>
      <c r="P466" cm="1">
        <f t="array" ref="P4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67" spans="1:16" x14ac:dyDescent="0.25">
      <c r="A467" t="s">
        <v>881</v>
      </c>
      <c r="B467" s="1">
        <v>46076</v>
      </c>
      <c r="C467" s="4">
        <v>0.74375000000000002</v>
      </c>
      <c r="D467" t="s">
        <v>58</v>
      </c>
      <c r="E467" t="s">
        <v>842</v>
      </c>
      <c r="F467" t="s">
        <v>59</v>
      </c>
      <c r="G467">
        <v>62</v>
      </c>
      <c r="H467" t="s">
        <v>847</v>
      </c>
      <c r="I467" t="s">
        <v>34</v>
      </c>
      <c r="J467">
        <v>78</v>
      </c>
      <c r="K467">
        <v>92</v>
      </c>
      <c r="L467">
        <v>4.0999999999999996</v>
      </c>
      <c r="M467" t="s">
        <v>14</v>
      </c>
      <c r="N467" s="2">
        <v>4047.13</v>
      </c>
      <c r="O467" s="2" t="str">
        <f>IF(EHR_Export[[#This Row],[Arrival Time]]&lt;=TIME(7,0,0), "Night", IF(EHR_Export[[#This Row],[Arrival Time]]&lt;TIME(15,0,0), "Day", "Evening"))</f>
        <v>Evening</v>
      </c>
      <c r="P467" cm="1">
        <f t="array" ref="P4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68" spans="1:16" x14ac:dyDescent="0.25">
      <c r="A468" t="s">
        <v>1269</v>
      </c>
      <c r="B468" s="1">
        <v>46076</v>
      </c>
      <c r="C468" s="4">
        <v>0.50347222222222221</v>
      </c>
      <c r="D468" t="s">
        <v>28</v>
      </c>
      <c r="E468" t="s">
        <v>23</v>
      </c>
      <c r="F468" t="s">
        <v>448</v>
      </c>
      <c r="G468">
        <v>65</v>
      </c>
      <c r="H468" t="s">
        <v>849</v>
      </c>
      <c r="I468" t="s">
        <v>38</v>
      </c>
      <c r="J468">
        <v>25</v>
      </c>
      <c r="K468">
        <v>17</v>
      </c>
      <c r="L468">
        <v>3.7</v>
      </c>
      <c r="M468" t="s">
        <v>14</v>
      </c>
      <c r="N468" s="2">
        <v>831.24</v>
      </c>
      <c r="O468" s="2" t="str">
        <f>IF(EHR_Export[[#This Row],[Arrival Time]]&lt;=TIME(7,0,0), "Night", IF(EHR_Export[[#This Row],[Arrival Time]]&lt;TIME(15,0,0), "Day", "Evening"))</f>
        <v>Day</v>
      </c>
      <c r="P468" cm="1">
        <f t="array" ref="P4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69" spans="1:16" x14ac:dyDescent="0.25">
      <c r="A469" t="s">
        <v>1320</v>
      </c>
      <c r="B469" s="1">
        <v>46076</v>
      </c>
      <c r="C469" s="4">
        <v>0.74375000000000002</v>
      </c>
      <c r="D469" t="s">
        <v>58</v>
      </c>
      <c r="E469" t="s">
        <v>842</v>
      </c>
      <c r="F469" t="s">
        <v>499</v>
      </c>
      <c r="G469">
        <v>33</v>
      </c>
      <c r="H469" t="s">
        <v>847</v>
      </c>
      <c r="I469" t="s">
        <v>13</v>
      </c>
      <c r="J469">
        <v>58</v>
      </c>
      <c r="K469">
        <v>97</v>
      </c>
      <c r="L469">
        <v>2.1</v>
      </c>
      <c r="M469" t="s">
        <v>14</v>
      </c>
      <c r="N469" s="2">
        <v>3202.18</v>
      </c>
      <c r="O469" s="2" t="str">
        <f>IF(EHR_Export[[#This Row],[Arrival Time]]&lt;=TIME(7,0,0), "Night", IF(EHR_Export[[#This Row],[Arrival Time]]&lt;TIME(15,0,0), "Day", "Evening"))</f>
        <v>Evening</v>
      </c>
      <c r="P469" cm="1">
        <f t="array" ref="P4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70" spans="1:16" x14ac:dyDescent="0.25">
      <c r="A470" t="s">
        <v>1321</v>
      </c>
      <c r="B470" s="1">
        <v>46076</v>
      </c>
      <c r="C470" s="4">
        <v>0.61944444444444446</v>
      </c>
      <c r="D470" t="s">
        <v>28</v>
      </c>
      <c r="E470" t="s">
        <v>23</v>
      </c>
      <c r="F470" t="s">
        <v>500</v>
      </c>
      <c r="G470">
        <v>29</v>
      </c>
      <c r="H470" t="s">
        <v>849</v>
      </c>
      <c r="I470" t="s">
        <v>25</v>
      </c>
      <c r="J470">
        <v>44</v>
      </c>
      <c r="K470">
        <v>42</v>
      </c>
      <c r="L470">
        <v>4.0999999999999996</v>
      </c>
      <c r="M470" t="s">
        <v>14</v>
      </c>
      <c r="N470" s="2">
        <v>1421.1</v>
      </c>
      <c r="O470" s="2" t="str">
        <f>IF(EHR_Export[[#This Row],[Arrival Time]]&lt;=TIME(7,0,0), "Night", IF(EHR_Export[[#This Row],[Arrival Time]]&lt;TIME(15,0,0), "Day", "Evening"))</f>
        <v>Day</v>
      </c>
      <c r="P470" cm="1">
        <f t="array" ref="P4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71" spans="1:16" x14ac:dyDescent="0.25">
      <c r="A471" t="s">
        <v>1449</v>
      </c>
      <c r="B471" s="1">
        <v>46076</v>
      </c>
      <c r="C471" s="4">
        <v>0.55208333333333337</v>
      </c>
      <c r="D471" t="s">
        <v>28</v>
      </c>
      <c r="E471" t="s">
        <v>23</v>
      </c>
      <c r="F471" t="s">
        <v>628</v>
      </c>
      <c r="G471">
        <v>39</v>
      </c>
      <c r="H471" t="s">
        <v>847</v>
      </c>
      <c r="I471" t="s">
        <v>38</v>
      </c>
      <c r="J471">
        <v>36</v>
      </c>
      <c r="K471">
        <v>25</v>
      </c>
      <c r="L471">
        <v>1.7</v>
      </c>
      <c r="M471" t="s">
        <v>14</v>
      </c>
      <c r="N471" s="2">
        <v>1055.49</v>
      </c>
      <c r="O471" s="2" t="str">
        <f>IF(EHR_Export[[#This Row],[Arrival Time]]&lt;=TIME(7,0,0), "Night", IF(EHR_Export[[#This Row],[Arrival Time]]&lt;TIME(15,0,0), "Day", "Evening"))</f>
        <v>Day</v>
      </c>
      <c r="P471" cm="1">
        <f t="array" ref="P4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72" spans="1:16" x14ac:dyDescent="0.25">
      <c r="A472" t="s">
        <v>1079</v>
      </c>
      <c r="B472" s="1">
        <v>46077</v>
      </c>
      <c r="C472" s="4">
        <v>0.55069444444444449</v>
      </c>
      <c r="D472" t="s">
        <v>126</v>
      </c>
      <c r="E472" t="s">
        <v>46</v>
      </c>
      <c r="F472" t="s">
        <v>258</v>
      </c>
      <c r="G472">
        <v>999</v>
      </c>
      <c r="H472" t="s">
        <v>847</v>
      </c>
      <c r="I472" t="s">
        <v>13</v>
      </c>
      <c r="J472">
        <v>17</v>
      </c>
      <c r="K472">
        <v>56</v>
      </c>
      <c r="L472">
        <v>4.5</v>
      </c>
      <c r="M472" t="s">
        <v>14</v>
      </c>
      <c r="N472" s="2">
        <v>1536.39</v>
      </c>
      <c r="O472" s="2" t="str">
        <f>IF(EHR_Export[[#This Row],[Arrival Time]]&lt;=TIME(7,0,0), "Night", IF(EHR_Export[[#This Row],[Arrival Time]]&lt;TIME(15,0,0), "Day", "Evening"))</f>
        <v>Day</v>
      </c>
      <c r="P472" cm="1">
        <f t="array" ref="P4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73" spans="1:16" x14ac:dyDescent="0.25">
      <c r="A473" t="s">
        <v>1083</v>
      </c>
      <c r="B473" s="1">
        <v>46077</v>
      </c>
      <c r="C473" s="4">
        <v>0.50416666666666665</v>
      </c>
      <c r="D473" t="s">
        <v>28</v>
      </c>
      <c r="E473" t="s">
        <v>23</v>
      </c>
      <c r="F473" t="s">
        <v>262</v>
      </c>
      <c r="G473">
        <v>43</v>
      </c>
      <c r="H473" t="s">
        <v>849</v>
      </c>
      <c r="I473" t="s">
        <v>34</v>
      </c>
      <c r="J473">
        <v>64</v>
      </c>
      <c r="K473">
        <v>44</v>
      </c>
      <c r="L473">
        <v>3.6</v>
      </c>
      <c r="M473" t="s">
        <v>14</v>
      </c>
      <c r="N473" s="2">
        <v>681.25</v>
      </c>
      <c r="O473" s="2" t="str">
        <f>IF(EHR_Export[[#This Row],[Arrival Time]]&lt;=TIME(7,0,0), "Night", IF(EHR_Export[[#This Row],[Arrival Time]]&lt;TIME(15,0,0), "Day", "Evening"))</f>
        <v>Day</v>
      </c>
      <c r="P473" cm="1">
        <f t="array" ref="P4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74" spans="1:16" x14ac:dyDescent="0.25">
      <c r="A474" t="s">
        <v>1108</v>
      </c>
      <c r="B474" s="1">
        <v>46077</v>
      </c>
      <c r="C474" s="4">
        <v>0.47291666666666665</v>
      </c>
      <c r="D474" t="s">
        <v>28</v>
      </c>
      <c r="E474" t="s">
        <v>23</v>
      </c>
      <c r="F474" t="s">
        <v>287</v>
      </c>
      <c r="G474">
        <v>60</v>
      </c>
      <c r="H474" t="s">
        <v>849</v>
      </c>
      <c r="I474" t="s">
        <v>38</v>
      </c>
      <c r="J474">
        <v>24</v>
      </c>
      <c r="K474">
        <v>47</v>
      </c>
      <c r="L474">
        <v>4.4000000000000004</v>
      </c>
      <c r="M474" t="s">
        <v>14</v>
      </c>
      <c r="N474" s="2">
        <v>954.53</v>
      </c>
      <c r="O474" s="2" t="str">
        <f>IF(EHR_Export[[#This Row],[Arrival Time]]&lt;=TIME(7,0,0), "Night", IF(EHR_Export[[#This Row],[Arrival Time]]&lt;TIME(15,0,0), "Day", "Evening"))</f>
        <v>Day</v>
      </c>
      <c r="P474" cm="1">
        <f t="array" ref="P4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75" spans="1:16" x14ac:dyDescent="0.25">
      <c r="A475" t="s">
        <v>1223</v>
      </c>
      <c r="B475" s="1">
        <v>46077</v>
      </c>
      <c r="C475" s="4">
        <v>0.4</v>
      </c>
      <c r="D475" t="s">
        <v>48</v>
      </c>
      <c r="E475" t="s">
        <v>42</v>
      </c>
      <c r="F475" t="s">
        <v>402</v>
      </c>
      <c r="G475">
        <v>72</v>
      </c>
      <c r="H475" t="s">
        <v>849</v>
      </c>
      <c r="I475" t="s">
        <v>38</v>
      </c>
      <c r="J475">
        <v>51</v>
      </c>
      <c r="K475">
        <v>27</v>
      </c>
      <c r="L475">
        <v>3.3</v>
      </c>
      <c r="M475" t="s">
        <v>14</v>
      </c>
      <c r="N475" s="2">
        <v>1706.26</v>
      </c>
      <c r="O475" s="2" t="str">
        <f>IF(EHR_Export[[#This Row],[Arrival Time]]&lt;=TIME(7,0,0), "Night", IF(EHR_Export[[#This Row],[Arrival Time]]&lt;TIME(15,0,0), "Day", "Evening"))</f>
        <v>Day</v>
      </c>
      <c r="P475" cm="1">
        <f t="array" ref="P4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76" spans="1:16" x14ac:dyDescent="0.25">
      <c r="A476" t="s">
        <v>1242</v>
      </c>
      <c r="B476" s="1">
        <v>46077</v>
      </c>
      <c r="C476" s="4">
        <v>0.3923611111111111</v>
      </c>
      <c r="D476" t="s">
        <v>21</v>
      </c>
      <c r="E476" t="s">
        <v>53</v>
      </c>
      <c r="F476" t="s">
        <v>421</v>
      </c>
      <c r="G476">
        <v>34</v>
      </c>
      <c r="H476" t="s">
        <v>849</v>
      </c>
      <c r="I476" t="s">
        <v>25</v>
      </c>
      <c r="J476">
        <v>14</v>
      </c>
      <c r="K476">
        <v>49</v>
      </c>
      <c r="L476">
        <v>4.0999999999999996</v>
      </c>
      <c r="M476" t="s">
        <v>14</v>
      </c>
      <c r="N476" s="2">
        <v>632.59</v>
      </c>
      <c r="O476" s="2" t="str">
        <f>IF(EHR_Export[[#This Row],[Arrival Time]]&lt;=TIME(7,0,0), "Night", IF(EHR_Export[[#This Row],[Arrival Time]]&lt;TIME(15,0,0), "Day", "Evening"))</f>
        <v>Day</v>
      </c>
      <c r="P476" cm="1">
        <f t="array" ref="P4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77" spans="1:16" x14ac:dyDescent="0.25">
      <c r="A477" t="s">
        <v>1318</v>
      </c>
      <c r="B477" s="1">
        <v>46077</v>
      </c>
      <c r="C477" s="4">
        <v>0.46388888888888891</v>
      </c>
      <c r="D477" t="s">
        <v>126</v>
      </c>
      <c r="E477" t="s">
        <v>46</v>
      </c>
      <c r="F477" t="s">
        <v>497</v>
      </c>
      <c r="G477">
        <v>78</v>
      </c>
      <c r="H477" t="s">
        <v>849</v>
      </c>
      <c r="I477" t="s">
        <v>13</v>
      </c>
      <c r="J477">
        <v>66</v>
      </c>
      <c r="K477">
        <v>34</v>
      </c>
      <c r="L477">
        <v>3.3</v>
      </c>
      <c r="M477" t="s">
        <v>14</v>
      </c>
      <c r="N477" s="2">
        <v>1861.26</v>
      </c>
      <c r="O477" s="2" t="str">
        <f>IF(EHR_Export[[#This Row],[Arrival Time]]&lt;=TIME(7,0,0), "Night", IF(EHR_Export[[#This Row],[Arrival Time]]&lt;TIME(15,0,0), "Day", "Evening"))</f>
        <v>Day</v>
      </c>
      <c r="P477" cm="1">
        <f t="array" ref="P4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78" spans="1:16" x14ac:dyDescent="0.25">
      <c r="A478" t="s">
        <v>1391</v>
      </c>
      <c r="B478" s="1">
        <v>46077</v>
      </c>
      <c r="C478" s="4">
        <v>0.54097222222222219</v>
      </c>
      <c r="D478" t="s">
        <v>28</v>
      </c>
      <c r="E478" t="s">
        <v>23</v>
      </c>
      <c r="F478" t="s">
        <v>570</v>
      </c>
      <c r="G478">
        <v>1</v>
      </c>
      <c r="H478" t="s">
        <v>847</v>
      </c>
      <c r="I478" t="s">
        <v>34</v>
      </c>
      <c r="J478">
        <v>27</v>
      </c>
      <c r="K478">
        <v>14</v>
      </c>
      <c r="L478">
        <v>5</v>
      </c>
      <c r="M478" t="s">
        <v>14</v>
      </c>
      <c r="N478" s="2">
        <v>456.34</v>
      </c>
      <c r="O478" s="2" t="str">
        <f>IF(EHR_Export[[#This Row],[Arrival Time]]&lt;=TIME(7,0,0), "Night", IF(EHR_Export[[#This Row],[Arrival Time]]&lt;TIME(15,0,0), "Day", "Evening"))</f>
        <v>Day</v>
      </c>
      <c r="P478" cm="1">
        <f t="array" ref="P4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79" spans="1:16" x14ac:dyDescent="0.25">
      <c r="A479" t="s">
        <v>1492</v>
      </c>
      <c r="B479" s="1">
        <v>46077</v>
      </c>
      <c r="C479" s="4">
        <v>0.65972222222222221</v>
      </c>
      <c r="D479" t="s">
        <v>28</v>
      </c>
      <c r="E479" t="s">
        <v>23</v>
      </c>
      <c r="F479" t="s">
        <v>671</v>
      </c>
      <c r="G479">
        <v>47</v>
      </c>
      <c r="H479" t="s">
        <v>849</v>
      </c>
      <c r="I479" t="s">
        <v>25</v>
      </c>
      <c r="J479">
        <v>57</v>
      </c>
      <c r="K479">
        <v>37</v>
      </c>
      <c r="L479">
        <v>2.7</v>
      </c>
      <c r="M479" t="s">
        <v>14</v>
      </c>
      <c r="N479" s="2">
        <v>1195.71</v>
      </c>
      <c r="O479" s="2" t="str">
        <f>IF(EHR_Export[[#This Row],[Arrival Time]]&lt;=TIME(7,0,0), "Night", IF(EHR_Export[[#This Row],[Arrival Time]]&lt;TIME(15,0,0), "Day", "Evening"))</f>
        <v>Evening</v>
      </c>
      <c r="P479" cm="1">
        <f t="array" ref="P4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80" spans="1:16" x14ac:dyDescent="0.25">
      <c r="A480" t="s">
        <v>1568</v>
      </c>
      <c r="B480" s="1">
        <v>46077</v>
      </c>
      <c r="C480" s="4">
        <v>0.42291666666666666</v>
      </c>
      <c r="D480" t="s">
        <v>21</v>
      </c>
      <c r="E480" t="s">
        <v>53</v>
      </c>
      <c r="F480" t="s">
        <v>747</v>
      </c>
      <c r="G480">
        <v>24</v>
      </c>
      <c r="H480" t="s">
        <v>849</v>
      </c>
      <c r="I480" t="s">
        <v>25</v>
      </c>
      <c r="J480">
        <v>11</v>
      </c>
      <c r="K480">
        <v>73</v>
      </c>
      <c r="L480">
        <v>4</v>
      </c>
      <c r="M480" t="s">
        <v>14</v>
      </c>
      <c r="N480" s="2">
        <v>637.67999999999995</v>
      </c>
      <c r="O480" s="2" t="str">
        <f>IF(EHR_Export[[#This Row],[Arrival Time]]&lt;=TIME(7,0,0), "Night", IF(EHR_Export[[#This Row],[Arrival Time]]&lt;TIME(15,0,0), "Day", "Evening"))</f>
        <v>Day</v>
      </c>
      <c r="P480" cm="1">
        <f t="array" ref="P4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81" spans="1:16" x14ac:dyDescent="0.25">
      <c r="A481" t="s">
        <v>1569</v>
      </c>
      <c r="B481" s="1">
        <v>46077</v>
      </c>
      <c r="C481" s="4">
        <v>0.89444444444444449</v>
      </c>
      <c r="D481" t="s">
        <v>28</v>
      </c>
      <c r="E481" t="s">
        <v>23</v>
      </c>
      <c r="F481" t="s">
        <v>748</v>
      </c>
      <c r="G481">
        <v>50</v>
      </c>
      <c r="H481" t="s">
        <v>849</v>
      </c>
      <c r="I481" t="s">
        <v>25</v>
      </c>
      <c r="J481">
        <v>51</v>
      </c>
      <c r="K481">
        <v>62</v>
      </c>
      <c r="L481">
        <v>3.6</v>
      </c>
      <c r="M481" t="s">
        <v>14</v>
      </c>
      <c r="N481" s="2">
        <v>1042.93</v>
      </c>
      <c r="O481" s="2" t="str">
        <f>IF(EHR_Export[[#This Row],[Arrival Time]]&lt;=TIME(7,0,0), "Night", IF(EHR_Export[[#This Row],[Arrival Time]]&lt;TIME(15,0,0), "Day", "Evening"))</f>
        <v>Evening</v>
      </c>
      <c r="P481" cm="1">
        <f t="array" ref="P4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82" spans="1:16" x14ac:dyDescent="0.25">
      <c r="A482" t="s">
        <v>1597</v>
      </c>
      <c r="B482" s="1">
        <v>46077</v>
      </c>
      <c r="C482" s="4">
        <v>0.43333333333333335</v>
      </c>
      <c r="D482" t="s">
        <v>21</v>
      </c>
      <c r="E482" t="s">
        <v>53</v>
      </c>
      <c r="F482" t="s">
        <v>776</v>
      </c>
      <c r="G482">
        <v>43</v>
      </c>
      <c r="H482" t="s">
        <v>847</v>
      </c>
      <c r="I482" t="s">
        <v>38</v>
      </c>
      <c r="J482">
        <v>38</v>
      </c>
      <c r="K482">
        <v>12</v>
      </c>
      <c r="L482">
        <v>3.9</v>
      </c>
      <c r="M482" t="s">
        <v>14</v>
      </c>
      <c r="N482" s="2">
        <v>626.05999999999995</v>
      </c>
      <c r="O482" s="2" t="str">
        <f>IF(EHR_Export[[#This Row],[Arrival Time]]&lt;=TIME(7,0,0), "Night", IF(EHR_Export[[#This Row],[Arrival Time]]&lt;TIME(15,0,0), "Day", "Evening"))</f>
        <v>Day</v>
      </c>
      <c r="P482" cm="1">
        <f t="array" ref="P4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83" spans="1:16" x14ac:dyDescent="0.25">
      <c r="A483" t="s">
        <v>895</v>
      </c>
      <c r="B483" s="1">
        <v>46078</v>
      </c>
      <c r="C483" s="4">
        <v>0.71944444444444444</v>
      </c>
      <c r="D483" t="s">
        <v>126</v>
      </c>
      <c r="E483" t="s">
        <v>46</v>
      </c>
      <c r="F483" t="s">
        <v>73</v>
      </c>
      <c r="G483">
        <v>1</v>
      </c>
      <c r="H483" t="s">
        <v>847</v>
      </c>
      <c r="I483" t="s">
        <v>34</v>
      </c>
      <c r="J483">
        <v>54</v>
      </c>
      <c r="K483">
        <v>54</v>
      </c>
      <c r="L483">
        <v>3.1</v>
      </c>
      <c r="M483" t="s">
        <v>14</v>
      </c>
      <c r="N483" s="2">
        <v>2198.1</v>
      </c>
      <c r="O483" s="2" t="str">
        <f>IF(EHR_Export[[#This Row],[Arrival Time]]&lt;=TIME(7,0,0), "Night", IF(EHR_Export[[#This Row],[Arrival Time]]&lt;TIME(15,0,0), "Day", "Evening"))</f>
        <v>Evening</v>
      </c>
      <c r="P483" cm="1">
        <f t="array" ref="P4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84" spans="1:16" x14ac:dyDescent="0.25">
      <c r="A484" t="s">
        <v>978</v>
      </c>
      <c r="B484" s="1">
        <v>46078</v>
      </c>
      <c r="C484" s="4">
        <v>0.56319444444444444</v>
      </c>
      <c r="D484" t="s">
        <v>126</v>
      </c>
      <c r="E484" t="s">
        <v>46</v>
      </c>
      <c r="F484" t="s">
        <v>157</v>
      </c>
      <c r="G484">
        <v>78</v>
      </c>
      <c r="H484" t="s">
        <v>847</v>
      </c>
      <c r="I484" t="s">
        <v>34</v>
      </c>
      <c r="J484">
        <v>24</v>
      </c>
      <c r="K484">
        <v>39</v>
      </c>
      <c r="L484">
        <v>3.5</v>
      </c>
      <c r="M484" t="s">
        <v>14</v>
      </c>
      <c r="N484" s="2">
        <v>1766.13</v>
      </c>
      <c r="O484" s="2" t="str">
        <f>IF(EHR_Export[[#This Row],[Arrival Time]]&lt;=TIME(7,0,0), "Night", IF(EHR_Export[[#This Row],[Arrival Time]]&lt;TIME(15,0,0), "Day", "Evening"))</f>
        <v>Day</v>
      </c>
      <c r="P484" cm="1">
        <f t="array" ref="P4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485" spans="1:16" x14ac:dyDescent="0.25">
      <c r="A485" t="s">
        <v>1044</v>
      </c>
      <c r="B485" s="1">
        <v>46078</v>
      </c>
      <c r="C485" s="4">
        <v>0.79861111111111116</v>
      </c>
      <c r="D485" t="s">
        <v>126</v>
      </c>
      <c r="E485" t="s">
        <v>46</v>
      </c>
      <c r="F485" t="s">
        <v>223</v>
      </c>
      <c r="G485">
        <v>80</v>
      </c>
      <c r="H485" t="s">
        <v>847</v>
      </c>
      <c r="I485" t="s">
        <v>34</v>
      </c>
      <c r="J485">
        <v>20</v>
      </c>
      <c r="K485">
        <v>10</v>
      </c>
      <c r="L485">
        <v>3.1</v>
      </c>
      <c r="M485" t="s">
        <v>14</v>
      </c>
      <c r="N485" s="2">
        <v>2107.9899999999998</v>
      </c>
      <c r="O485" s="2" t="str">
        <f>IF(EHR_Export[[#This Row],[Arrival Time]]&lt;=TIME(7,0,0), "Night", IF(EHR_Export[[#This Row],[Arrival Time]]&lt;TIME(15,0,0), "Day", "Evening"))</f>
        <v>Evening</v>
      </c>
      <c r="P485" cm="1">
        <f t="array" ref="P4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86" spans="1:16" x14ac:dyDescent="0.25">
      <c r="A486" t="s">
        <v>1220</v>
      </c>
      <c r="B486" s="1">
        <v>46078</v>
      </c>
      <c r="C486" s="4">
        <v>0.85833333333333328</v>
      </c>
      <c r="D486" t="s">
        <v>28</v>
      </c>
      <c r="E486" t="s">
        <v>23</v>
      </c>
      <c r="F486" t="s">
        <v>399</v>
      </c>
      <c r="G486">
        <v>29</v>
      </c>
      <c r="H486" t="s">
        <v>849</v>
      </c>
      <c r="I486" t="s">
        <v>25</v>
      </c>
      <c r="J486">
        <v>73</v>
      </c>
      <c r="K486">
        <v>58</v>
      </c>
      <c r="L486">
        <v>2.9</v>
      </c>
      <c r="M486" t="s">
        <v>14</v>
      </c>
      <c r="N486" s="2">
        <v>869.9</v>
      </c>
      <c r="O486" s="2" t="str">
        <f>IF(EHR_Export[[#This Row],[Arrival Time]]&lt;=TIME(7,0,0), "Night", IF(EHR_Export[[#This Row],[Arrival Time]]&lt;TIME(15,0,0), "Day", "Evening"))</f>
        <v>Evening</v>
      </c>
      <c r="P486" cm="1">
        <f t="array" ref="P4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87" spans="1:16" x14ac:dyDescent="0.25">
      <c r="A487" t="s">
        <v>1481</v>
      </c>
      <c r="B487" s="1">
        <v>46078</v>
      </c>
      <c r="C487" s="4">
        <v>0.38124999999999998</v>
      </c>
      <c r="D487" t="s">
        <v>58</v>
      </c>
      <c r="E487" t="s">
        <v>842</v>
      </c>
      <c r="F487" t="s">
        <v>660</v>
      </c>
      <c r="G487">
        <v>54</v>
      </c>
      <c r="H487" t="s">
        <v>849</v>
      </c>
      <c r="I487" t="s">
        <v>34</v>
      </c>
      <c r="J487">
        <v>66</v>
      </c>
      <c r="K487">
        <v>61</v>
      </c>
      <c r="L487">
        <v>3.9</v>
      </c>
      <c r="M487" t="s">
        <v>18</v>
      </c>
      <c r="N487" s="2">
        <v>5477.54</v>
      </c>
      <c r="O487" s="2" t="str">
        <f>IF(EHR_Export[[#This Row],[Arrival Time]]&lt;=TIME(7,0,0), "Night", IF(EHR_Export[[#This Row],[Arrival Time]]&lt;TIME(15,0,0), "Day", "Evening"))</f>
        <v>Day</v>
      </c>
      <c r="P487" cm="1">
        <f t="array" ref="P4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88" spans="1:16" x14ac:dyDescent="0.25">
      <c r="A488" t="s">
        <v>1531</v>
      </c>
      <c r="B488" s="1">
        <v>46078</v>
      </c>
      <c r="C488" s="4">
        <v>0.96111111111111114</v>
      </c>
      <c r="D488" t="s">
        <v>28</v>
      </c>
      <c r="E488" t="s">
        <v>23</v>
      </c>
      <c r="F488" t="s">
        <v>710</v>
      </c>
      <c r="G488">
        <v>45</v>
      </c>
      <c r="H488" t="s">
        <v>847</v>
      </c>
      <c r="I488" t="s">
        <v>34</v>
      </c>
      <c r="J488">
        <v>34</v>
      </c>
      <c r="K488">
        <v>44</v>
      </c>
      <c r="L488">
        <v>3.7</v>
      </c>
      <c r="M488" t="s">
        <v>14</v>
      </c>
      <c r="N488" s="2">
        <v>389.3</v>
      </c>
      <c r="O488" s="2" t="str">
        <f>IF(EHR_Export[[#This Row],[Arrival Time]]&lt;=TIME(7,0,0), "Night", IF(EHR_Export[[#This Row],[Arrival Time]]&lt;TIME(15,0,0), "Day", "Evening"))</f>
        <v>Evening</v>
      </c>
      <c r="P488" cm="1">
        <f t="array" ref="P4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89" spans="1:16" x14ac:dyDescent="0.25">
      <c r="A489" t="s">
        <v>936</v>
      </c>
      <c r="B489" s="1">
        <v>46079</v>
      </c>
      <c r="C489" s="4">
        <v>0.42222222222222222</v>
      </c>
      <c r="D489" t="s">
        <v>58</v>
      </c>
      <c r="E489" t="s">
        <v>842</v>
      </c>
      <c r="F489" t="s">
        <v>114</v>
      </c>
      <c r="G489">
        <v>16</v>
      </c>
      <c r="H489" t="s">
        <v>847</v>
      </c>
      <c r="I489" t="s">
        <v>25</v>
      </c>
      <c r="J489">
        <v>33</v>
      </c>
      <c r="K489">
        <v>62</v>
      </c>
      <c r="L489">
        <v>3.9</v>
      </c>
      <c r="M489" t="s">
        <v>14</v>
      </c>
      <c r="N489" s="2">
        <v>3207.23</v>
      </c>
      <c r="O489" s="2" t="str">
        <f>IF(EHR_Export[[#This Row],[Arrival Time]]&lt;=TIME(7,0,0), "Night", IF(EHR_Export[[#This Row],[Arrival Time]]&lt;TIME(15,0,0), "Day", "Evening"))</f>
        <v>Day</v>
      </c>
      <c r="P489" cm="1">
        <f t="array" ref="P4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490" spans="1:16" x14ac:dyDescent="0.25">
      <c r="A490" t="s">
        <v>1009</v>
      </c>
      <c r="B490" s="1">
        <v>46079</v>
      </c>
      <c r="C490" s="4">
        <v>0.7006944444444444</v>
      </c>
      <c r="D490" t="s">
        <v>58</v>
      </c>
      <c r="E490" t="s">
        <v>842</v>
      </c>
      <c r="F490" t="s">
        <v>188</v>
      </c>
      <c r="G490">
        <v>81</v>
      </c>
      <c r="H490" t="s">
        <v>847</v>
      </c>
      <c r="I490" t="s">
        <v>38</v>
      </c>
      <c r="J490">
        <v>70</v>
      </c>
      <c r="K490">
        <v>88</v>
      </c>
      <c r="L490">
        <v>2.9</v>
      </c>
      <c r="M490" t="s">
        <v>14</v>
      </c>
      <c r="N490" s="2">
        <v>1798.71</v>
      </c>
      <c r="O490" s="2" t="str">
        <f>IF(EHR_Export[[#This Row],[Arrival Time]]&lt;=TIME(7,0,0), "Night", IF(EHR_Export[[#This Row],[Arrival Time]]&lt;TIME(15,0,0), "Day", "Evening"))</f>
        <v>Evening</v>
      </c>
      <c r="P490" cm="1">
        <f t="array" ref="P4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491" spans="1:16" x14ac:dyDescent="0.25">
      <c r="A491" t="s">
        <v>1199</v>
      </c>
      <c r="B491" s="1">
        <v>46079</v>
      </c>
      <c r="C491" s="4">
        <v>0.34652777777777777</v>
      </c>
      <c r="D491" t="s">
        <v>21</v>
      </c>
      <c r="E491" t="s">
        <v>53</v>
      </c>
      <c r="F491" t="s">
        <v>378</v>
      </c>
      <c r="G491">
        <v>43</v>
      </c>
      <c r="H491" t="s">
        <v>847</v>
      </c>
      <c r="I491" t="s">
        <v>34</v>
      </c>
      <c r="J491">
        <v>49</v>
      </c>
      <c r="K491">
        <v>52</v>
      </c>
      <c r="L491">
        <v>4.7</v>
      </c>
      <c r="M491" t="s">
        <v>14</v>
      </c>
      <c r="N491" s="2">
        <v>753.39</v>
      </c>
      <c r="O491" s="2" t="str">
        <f>IF(EHR_Export[[#This Row],[Arrival Time]]&lt;=TIME(7,0,0), "Night", IF(EHR_Export[[#This Row],[Arrival Time]]&lt;TIME(15,0,0), "Day", "Evening"))</f>
        <v>Day</v>
      </c>
      <c r="P491" cm="1">
        <f t="array" ref="P4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92" spans="1:16" x14ac:dyDescent="0.25">
      <c r="A492" t="s">
        <v>1332</v>
      </c>
      <c r="B492" s="1">
        <v>46079</v>
      </c>
      <c r="C492" s="4">
        <v>0.75486111111111109</v>
      </c>
      <c r="D492" t="s">
        <v>48</v>
      </c>
      <c r="E492" t="s">
        <v>42</v>
      </c>
      <c r="F492" t="s">
        <v>511</v>
      </c>
      <c r="G492">
        <v>33</v>
      </c>
      <c r="H492" t="s">
        <v>849</v>
      </c>
      <c r="I492" t="s">
        <v>38</v>
      </c>
      <c r="J492">
        <v>77</v>
      </c>
      <c r="K492">
        <v>50</v>
      </c>
      <c r="L492">
        <v>2.7</v>
      </c>
      <c r="M492" t="s">
        <v>14</v>
      </c>
      <c r="N492" s="2">
        <v>919.6</v>
      </c>
      <c r="O492" s="2" t="str">
        <f>IF(EHR_Export[[#This Row],[Arrival Time]]&lt;=TIME(7,0,0), "Night", IF(EHR_Export[[#This Row],[Arrival Time]]&lt;TIME(15,0,0), "Day", "Evening"))</f>
        <v>Evening</v>
      </c>
      <c r="P492" cm="1">
        <f t="array" ref="P4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493" spans="1:16" x14ac:dyDescent="0.25">
      <c r="A493" t="s">
        <v>1419</v>
      </c>
      <c r="B493" s="1">
        <v>46079</v>
      </c>
      <c r="C493" s="4">
        <v>0.94236111111111109</v>
      </c>
      <c r="D493" t="s">
        <v>28</v>
      </c>
      <c r="E493" t="s">
        <v>23</v>
      </c>
      <c r="F493" t="s">
        <v>598</v>
      </c>
      <c r="G493">
        <v>37</v>
      </c>
      <c r="H493" t="s">
        <v>847</v>
      </c>
      <c r="I493" t="s">
        <v>13</v>
      </c>
      <c r="J493">
        <v>58</v>
      </c>
      <c r="K493">
        <v>42</v>
      </c>
      <c r="L493">
        <v>3.1</v>
      </c>
      <c r="M493" t="s">
        <v>14</v>
      </c>
      <c r="N493" s="2">
        <v>636.47</v>
      </c>
      <c r="O493" s="2" t="str">
        <f>IF(EHR_Export[[#This Row],[Arrival Time]]&lt;=TIME(7,0,0), "Night", IF(EHR_Export[[#This Row],[Arrival Time]]&lt;TIME(15,0,0), "Day", "Evening"))</f>
        <v>Evening</v>
      </c>
      <c r="P493" cm="1">
        <f t="array" ref="P4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494" spans="1:16" x14ac:dyDescent="0.25">
      <c r="A494" t="s">
        <v>1431</v>
      </c>
      <c r="B494" s="1">
        <v>46079</v>
      </c>
      <c r="C494" s="4">
        <v>2.6388888888888889E-2</v>
      </c>
      <c r="D494" t="s">
        <v>58</v>
      </c>
      <c r="E494" t="s">
        <v>842</v>
      </c>
      <c r="F494" t="s">
        <v>610</v>
      </c>
      <c r="G494">
        <v>61</v>
      </c>
      <c r="H494" t="s">
        <v>847</v>
      </c>
      <c r="I494" t="s">
        <v>34</v>
      </c>
      <c r="J494">
        <v>62</v>
      </c>
      <c r="K494">
        <v>93</v>
      </c>
      <c r="L494">
        <v>2.7</v>
      </c>
      <c r="M494" t="s">
        <v>14</v>
      </c>
      <c r="N494" s="2">
        <v>3013.72</v>
      </c>
      <c r="O494" s="2" t="str">
        <f>IF(EHR_Export[[#This Row],[Arrival Time]]&lt;=TIME(7,0,0), "Night", IF(EHR_Export[[#This Row],[Arrival Time]]&lt;TIME(15,0,0), "Day", "Evening"))</f>
        <v>Night</v>
      </c>
      <c r="P494" cm="1">
        <f t="array" ref="P4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495" spans="1:16" x14ac:dyDescent="0.25">
      <c r="A495" t="s">
        <v>1432</v>
      </c>
      <c r="B495" s="1">
        <v>46079</v>
      </c>
      <c r="C495" s="4">
        <v>0.22500000000000001</v>
      </c>
      <c r="D495" t="s">
        <v>28</v>
      </c>
      <c r="E495" t="s">
        <v>23</v>
      </c>
      <c r="F495" t="s">
        <v>611</v>
      </c>
      <c r="G495">
        <v>29</v>
      </c>
      <c r="H495" t="s">
        <v>847</v>
      </c>
      <c r="I495" t="s">
        <v>38</v>
      </c>
      <c r="J495">
        <v>55</v>
      </c>
      <c r="K495">
        <v>51</v>
      </c>
      <c r="L495">
        <v>3.5</v>
      </c>
      <c r="M495" t="s">
        <v>14</v>
      </c>
      <c r="N495" s="2">
        <v>1161.23</v>
      </c>
      <c r="O495" s="2" t="str">
        <f>IF(EHR_Export[[#This Row],[Arrival Time]]&lt;=TIME(7,0,0), "Night", IF(EHR_Export[[#This Row],[Arrival Time]]&lt;TIME(15,0,0), "Day", "Evening"))</f>
        <v>Night</v>
      </c>
      <c r="P495" cm="1">
        <f t="array" ref="P4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496" spans="1:16" x14ac:dyDescent="0.25">
      <c r="A496" t="s">
        <v>1498</v>
      </c>
      <c r="B496" s="1">
        <v>46079</v>
      </c>
      <c r="C496" s="4">
        <v>0.48472222222222222</v>
      </c>
      <c r="D496" t="s">
        <v>28</v>
      </c>
      <c r="E496" t="s">
        <v>23</v>
      </c>
      <c r="F496" t="s">
        <v>677</v>
      </c>
      <c r="G496">
        <v>41</v>
      </c>
      <c r="H496" t="s">
        <v>847</v>
      </c>
      <c r="I496" t="s">
        <v>34</v>
      </c>
      <c r="J496">
        <v>43</v>
      </c>
      <c r="K496">
        <v>12</v>
      </c>
      <c r="L496">
        <v>3.8</v>
      </c>
      <c r="M496" t="s">
        <v>14</v>
      </c>
      <c r="N496" s="2">
        <v>588.46</v>
      </c>
      <c r="O496" s="2" t="str">
        <f>IF(EHR_Export[[#This Row],[Arrival Time]]&lt;=TIME(7,0,0), "Night", IF(EHR_Export[[#This Row],[Arrival Time]]&lt;TIME(15,0,0), "Day", "Evening"))</f>
        <v>Day</v>
      </c>
      <c r="P496" cm="1">
        <f t="array" ref="P4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97" spans="1:16" x14ac:dyDescent="0.25">
      <c r="A497" t="s">
        <v>1521</v>
      </c>
      <c r="B497" s="1">
        <v>46079</v>
      </c>
      <c r="C497" s="4">
        <v>0.46875</v>
      </c>
      <c r="D497" t="s">
        <v>21</v>
      </c>
      <c r="E497" t="s">
        <v>53</v>
      </c>
      <c r="F497" t="s">
        <v>700</v>
      </c>
      <c r="G497">
        <v>61</v>
      </c>
      <c r="H497" t="s">
        <v>849</v>
      </c>
      <c r="I497" t="s">
        <v>38</v>
      </c>
      <c r="J497">
        <v>37</v>
      </c>
      <c r="K497">
        <v>34</v>
      </c>
      <c r="L497">
        <v>3.7</v>
      </c>
      <c r="M497" t="s">
        <v>14</v>
      </c>
      <c r="N497" s="2">
        <v>478.73</v>
      </c>
      <c r="O497" s="2" t="str">
        <f>IF(EHR_Export[[#This Row],[Arrival Time]]&lt;=TIME(7,0,0), "Night", IF(EHR_Export[[#This Row],[Arrival Time]]&lt;TIME(15,0,0), "Day", "Evening"))</f>
        <v>Day</v>
      </c>
      <c r="P497" cm="1">
        <f t="array" ref="P4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498" spans="1:16" x14ac:dyDescent="0.25">
      <c r="A498" t="s">
        <v>1567</v>
      </c>
      <c r="B498" s="1">
        <v>46079</v>
      </c>
      <c r="C498" s="4">
        <v>0.89652777777777781</v>
      </c>
      <c r="D498" t="s">
        <v>28</v>
      </c>
      <c r="E498" t="s">
        <v>23</v>
      </c>
      <c r="F498" t="s">
        <v>746</v>
      </c>
      <c r="G498">
        <v>48</v>
      </c>
      <c r="H498" t="s">
        <v>849</v>
      </c>
      <c r="I498" t="s">
        <v>38</v>
      </c>
      <c r="J498">
        <v>56</v>
      </c>
      <c r="K498">
        <v>50</v>
      </c>
      <c r="L498">
        <v>2.9</v>
      </c>
      <c r="M498" t="s">
        <v>14</v>
      </c>
      <c r="N498" s="2">
        <v>672.36</v>
      </c>
      <c r="O498" s="2" t="str">
        <f>IF(EHR_Export[[#This Row],[Arrival Time]]&lt;=TIME(7,0,0), "Night", IF(EHR_Export[[#This Row],[Arrival Time]]&lt;TIME(15,0,0), "Day", "Evening"))</f>
        <v>Evening</v>
      </c>
      <c r="P498" cm="1">
        <f t="array" ref="P4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499" spans="1:16" x14ac:dyDescent="0.25">
      <c r="A499" t="s">
        <v>848</v>
      </c>
      <c r="B499" s="1">
        <v>46080</v>
      </c>
      <c r="C499" s="4">
        <v>0.43541666666666667</v>
      </c>
      <c r="D499" t="s">
        <v>21</v>
      </c>
      <c r="E499" t="s">
        <v>53</v>
      </c>
      <c r="F499" t="s">
        <v>15</v>
      </c>
      <c r="G499">
        <v>95</v>
      </c>
      <c r="H499" t="s">
        <v>849</v>
      </c>
      <c r="I499" t="s">
        <v>25</v>
      </c>
      <c r="J499">
        <v>5</v>
      </c>
      <c r="K499">
        <v>33</v>
      </c>
      <c r="M499" t="s">
        <v>14</v>
      </c>
      <c r="N499" s="2">
        <v>604.78</v>
      </c>
      <c r="O499" s="2" t="str">
        <f>IF(EHR_Export[[#This Row],[Arrival Time]]&lt;=TIME(7,0,0), "Night", IF(EHR_Export[[#This Row],[Arrival Time]]&lt;TIME(15,0,0), "Day", "Evening"))</f>
        <v>Day</v>
      </c>
      <c r="P499" cm="1">
        <f t="array" ref="P4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00" spans="1:16" x14ac:dyDescent="0.25">
      <c r="A500" t="s">
        <v>860</v>
      </c>
      <c r="B500" s="1">
        <v>46080</v>
      </c>
      <c r="C500" s="4">
        <v>0.43541666666666667</v>
      </c>
      <c r="D500" t="s">
        <v>126</v>
      </c>
      <c r="E500" t="s">
        <v>46</v>
      </c>
      <c r="F500" t="s">
        <v>31</v>
      </c>
      <c r="G500">
        <v>2</v>
      </c>
      <c r="H500" t="s">
        <v>847</v>
      </c>
      <c r="I500" t="s">
        <v>25</v>
      </c>
      <c r="J500">
        <v>20</v>
      </c>
      <c r="K500">
        <v>63</v>
      </c>
      <c r="L500">
        <v>3.3</v>
      </c>
      <c r="M500" t="s">
        <v>14</v>
      </c>
      <c r="N500" s="2">
        <v>1685.92</v>
      </c>
      <c r="O500" s="2" t="str">
        <f>IF(EHR_Export[[#This Row],[Arrival Time]]&lt;=TIME(7,0,0), "Night", IF(EHR_Export[[#This Row],[Arrival Time]]&lt;TIME(15,0,0), "Day", "Evening"))</f>
        <v>Day</v>
      </c>
      <c r="P500" cm="1">
        <f t="array" ref="P5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01" spans="1:16" x14ac:dyDescent="0.25">
      <c r="A501" t="s">
        <v>983</v>
      </c>
      <c r="B501" s="1">
        <v>46080</v>
      </c>
      <c r="C501" s="4">
        <v>0.59444444444444444</v>
      </c>
      <c r="D501" t="s">
        <v>28</v>
      </c>
      <c r="E501" t="s">
        <v>23</v>
      </c>
      <c r="F501" t="s">
        <v>162</v>
      </c>
      <c r="G501">
        <v>45</v>
      </c>
      <c r="H501" t="s">
        <v>849</v>
      </c>
      <c r="I501" t="s">
        <v>13</v>
      </c>
      <c r="J501">
        <v>33</v>
      </c>
      <c r="K501">
        <v>43</v>
      </c>
      <c r="L501">
        <v>3</v>
      </c>
      <c r="M501" t="s">
        <v>14</v>
      </c>
      <c r="N501" s="2">
        <v>1011.44</v>
      </c>
      <c r="O501" s="2" t="str">
        <f>IF(EHR_Export[[#This Row],[Arrival Time]]&lt;=TIME(7,0,0), "Night", IF(EHR_Export[[#This Row],[Arrival Time]]&lt;TIME(15,0,0), "Day", "Evening"))</f>
        <v>Day</v>
      </c>
      <c r="P501" cm="1">
        <f t="array" ref="P5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02" spans="1:16" x14ac:dyDescent="0.25">
      <c r="A502" t="s">
        <v>1072</v>
      </c>
      <c r="B502" s="1">
        <v>46080</v>
      </c>
      <c r="C502" s="4">
        <v>0.49583333333333335</v>
      </c>
      <c r="D502" t="s">
        <v>48</v>
      </c>
      <c r="E502" t="s">
        <v>42</v>
      </c>
      <c r="F502" t="s">
        <v>251</v>
      </c>
      <c r="G502">
        <v>62</v>
      </c>
      <c r="H502" t="s">
        <v>849</v>
      </c>
      <c r="I502" t="s">
        <v>25</v>
      </c>
      <c r="J502">
        <v>26</v>
      </c>
      <c r="K502">
        <v>37</v>
      </c>
      <c r="L502">
        <v>3.3</v>
      </c>
      <c r="M502" t="s">
        <v>18</v>
      </c>
      <c r="N502" s="2">
        <v>1517.46</v>
      </c>
      <c r="O502" s="2" t="str">
        <f>IF(EHR_Export[[#This Row],[Arrival Time]]&lt;=TIME(7,0,0), "Night", IF(EHR_Export[[#This Row],[Arrival Time]]&lt;TIME(15,0,0), "Day", "Evening"))</f>
        <v>Day</v>
      </c>
      <c r="P502" cm="1">
        <f t="array" ref="P5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03" spans="1:16" x14ac:dyDescent="0.25">
      <c r="A503" t="s">
        <v>1135</v>
      </c>
      <c r="B503" s="1">
        <v>46080</v>
      </c>
      <c r="C503" s="4">
        <v>0.30694444444444446</v>
      </c>
      <c r="D503" t="s">
        <v>28</v>
      </c>
      <c r="E503" t="s">
        <v>23</v>
      </c>
      <c r="F503" t="s">
        <v>314</v>
      </c>
      <c r="G503">
        <v>92</v>
      </c>
      <c r="H503" t="s">
        <v>847</v>
      </c>
      <c r="I503" t="s">
        <v>25</v>
      </c>
      <c r="J503">
        <v>22</v>
      </c>
      <c r="K503">
        <v>10</v>
      </c>
      <c r="L503">
        <v>4</v>
      </c>
      <c r="M503" t="s">
        <v>14</v>
      </c>
      <c r="N503" s="2">
        <v>769.37</v>
      </c>
      <c r="O503" s="2" t="str">
        <f>IF(EHR_Export[[#This Row],[Arrival Time]]&lt;=TIME(7,0,0), "Night", IF(EHR_Export[[#This Row],[Arrival Time]]&lt;TIME(15,0,0), "Day", "Evening"))</f>
        <v>Day</v>
      </c>
      <c r="P503" cm="1">
        <f t="array" ref="P5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04" spans="1:16" x14ac:dyDescent="0.25">
      <c r="A504" t="s">
        <v>1178</v>
      </c>
      <c r="B504" s="1">
        <v>46080</v>
      </c>
      <c r="C504" s="4">
        <v>0.71597222222222223</v>
      </c>
      <c r="D504" t="s">
        <v>58</v>
      </c>
      <c r="E504" t="s">
        <v>842</v>
      </c>
      <c r="F504" t="s">
        <v>357</v>
      </c>
      <c r="G504">
        <v>65</v>
      </c>
      <c r="H504" t="s">
        <v>849</v>
      </c>
      <c r="I504" t="s">
        <v>34</v>
      </c>
      <c r="J504">
        <v>94</v>
      </c>
      <c r="K504">
        <v>99</v>
      </c>
      <c r="L504">
        <v>3.7</v>
      </c>
      <c r="M504" t="s">
        <v>14</v>
      </c>
      <c r="N504" s="2">
        <v>2883.34</v>
      </c>
      <c r="O504" s="2" t="str">
        <f>IF(EHR_Export[[#This Row],[Arrival Time]]&lt;=TIME(7,0,0), "Night", IF(EHR_Export[[#This Row],[Arrival Time]]&lt;TIME(15,0,0), "Day", "Evening"))</f>
        <v>Evening</v>
      </c>
      <c r="P504" cm="1">
        <f t="array" ref="P5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05" spans="1:16" x14ac:dyDescent="0.25">
      <c r="A505" t="s">
        <v>1326</v>
      </c>
      <c r="B505" s="1">
        <v>46080</v>
      </c>
      <c r="C505" s="4">
        <v>0.54652777777777772</v>
      </c>
      <c r="D505" t="s">
        <v>28</v>
      </c>
      <c r="E505" t="s">
        <v>23</v>
      </c>
      <c r="F505" t="s">
        <v>505</v>
      </c>
      <c r="G505">
        <v>71</v>
      </c>
      <c r="H505" t="s">
        <v>849</v>
      </c>
      <c r="I505" t="s">
        <v>34</v>
      </c>
      <c r="J505">
        <v>33</v>
      </c>
      <c r="K505">
        <v>39</v>
      </c>
      <c r="L505">
        <v>3.3</v>
      </c>
      <c r="M505" t="s">
        <v>14</v>
      </c>
      <c r="N505" s="2">
        <v>868</v>
      </c>
      <c r="O505" s="2" t="str">
        <f>IF(EHR_Export[[#This Row],[Arrival Time]]&lt;=TIME(7,0,0), "Night", IF(EHR_Export[[#This Row],[Arrival Time]]&lt;TIME(15,0,0), "Day", "Evening"))</f>
        <v>Day</v>
      </c>
      <c r="P505" cm="1">
        <f t="array" ref="P5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06" spans="1:16" x14ac:dyDescent="0.25">
      <c r="A506" t="s">
        <v>1379</v>
      </c>
      <c r="B506" s="1">
        <v>46080</v>
      </c>
      <c r="C506" s="4">
        <v>0.70625000000000004</v>
      </c>
      <c r="D506" t="s">
        <v>28</v>
      </c>
      <c r="E506" t="s">
        <v>23</v>
      </c>
      <c r="F506" t="s">
        <v>558</v>
      </c>
      <c r="G506">
        <v>85</v>
      </c>
      <c r="H506" t="s">
        <v>849</v>
      </c>
      <c r="I506" t="s">
        <v>34</v>
      </c>
      <c r="J506">
        <v>46</v>
      </c>
      <c r="K506">
        <v>75</v>
      </c>
      <c r="L506">
        <v>4.2</v>
      </c>
      <c r="M506" t="s">
        <v>14</v>
      </c>
      <c r="N506" s="2">
        <v>762.61</v>
      </c>
      <c r="O506" s="2" t="str">
        <f>IF(EHR_Export[[#This Row],[Arrival Time]]&lt;=TIME(7,0,0), "Night", IF(EHR_Export[[#This Row],[Arrival Time]]&lt;TIME(15,0,0), "Day", "Evening"))</f>
        <v>Evening</v>
      </c>
      <c r="P506" cm="1">
        <f t="array" ref="P5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07" spans="1:16" x14ac:dyDescent="0.25">
      <c r="A507" t="s">
        <v>1382</v>
      </c>
      <c r="B507" s="1">
        <v>46080</v>
      </c>
      <c r="C507" s="4">
        <v>0.95833333333333337</v>
      </c>
      <c r="D507" t="s">
        <v>48</v>
      </c>
      <c r="E507" t="s">
        <v>42</v>
      </c>
      <c r="F507" t="s">
        <v>561</v>
      </c>
      <c r="G507">
        <v>30</v>
      </c>
      <c r="H507" t="s">
        <v>847</v>
      </c>
      <c r="I507" t="s">
        <v>13</v>
      </c>
      <c r="J507">
        <v>50</v>
      </c>
      <c r="K507">
        <v>44</v>
      </c>
      <c r="L507">
        <v>4.0999999999999996</v>
      </c>
      <c r="M507" t="s">
        <v>14</v>
      </c>
      <c r="N507" s="2">
        <v>2012.73</v>
      </c>
      <c r="O507" s="2" t="str">
        <f>IF(EHR_Export[[#This Row],[Arrival Time]]&lt;=TIME(7,0,0), "Night", IF(EHR_Export[[#This Row],[Arrival Time]]&lt;TIME(15,0,0), "Day", "Evening"))</f>
        <v>Evening</v>
      </c>
      <c r="P507" cm="1">
        <f t="array" ref="P5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08" spans="1:16" x14ac:dyDescent="0.25">
      <c r="A508" t="s">
        <v>1455</v>
      </c>
      <c r="B508" s="1">
        <v>46080</v>
      </c>
      <c r="C508" s="4">
        <v>0.66111111111111109</v>
      </c>
      <c r="D508" t="s">
        <v>58</v>
      </c>
      <c r="E508" t="s">
        <v>842</v>
      </c>
      <c r="F508" t="s">
        <v>634</v>
      </c>
      <c r="G508">
        <v>77</v>
      </c>
      <c r="H508" t="s">
        <v>849</v>
      </c>
      <c r="I508" t="s">
        <v>25</v>
      </c>
      <c r="J508">
        <v>70</v>
      </c>
      <c r="K508">
        <v>99</v>
      </c>
      <c r="L508">
        <v>3.2</v>
      </c>
      <c r="M508" t="s">
        <v>14</v>
      </c>
      <c r="N508" s="2">
        <v>2666.17</v>
      </c>
      <c r="O508" s="2" t="str">
        <f>IF(EHR_Export[[#This Row],[Arrival Time]]&lt;=TIME(7,0,0), "Night", IF(EHR_Export[[#This Row],[Arrival Time]]&lt;TIME(15,0,0), "Day", "Evening"))</f>
        <v>Evening</v>
      </c>
      <c r="P508" cm="1">
        <f t="array" ref="P5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09" spans="1:16" x14ac:dyDescent="0.25">
      <c r="A509" t="s">
        <v>1465</v>
      </c>
      <c r="B509" s="1">
        <v>46080</v>
      </c>
      <c r="C509" s="4">
        <v>0.29583333333333334</v>
      </c>
      <c r="D509" t="s">
        <v>48</v>
      </c>
      <c r="E509" t="s">
        <v>42</v>
      </c>
      <c r="F509" t="s">
        <v>644</v>
      </c>
      <c r="G509">
        <v>46</v>
      </c>
      <c r="H509" t="s">
        <v>849</v>
      </c>
      <c r="I509" t="s">
        <v>34</v>
      </c>
      <c r="J509">
        <v>32</v>
      </c>
      <c r="K509">
        <v>57</v>
      </c>
      <c r="L509">
        <v>3.8</v>
      </c>
      <c r="M509" t="s">
        <v>14</v>
      </c>
      <c r="N509" s="2">
        <v>893.08</v>
      </c>
      <c r="O509" s="2" t="str">
        <f>IF(EHR_Export[[#This Row],[Arrival Time]]&lt;=TIME(7,0,0), "Night", IF(EHR_Export[[#This Row],[Arrival Time]]&lt;TIME(15,0,0), "Day", "Evening"))</f>
        <v>Day</v>
      </c>
      <c r="P509" cm="1">
        <f t="array" ref="P5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10" spans="1:16" x14ac:dyDescent="0.25">
      <c r="A510" t="s">
        <v>910</v>
      </c>
      <c r="B510" s="1">
        <v>46081</v>
      </c>
      <c r="C510" s="4">
        <v>0.39027777777777778</v>
      </c>
      <c r="D510" t="s">
        <v>21</v>
      </c>
      <c r="E510" t="s">
        <v>53</v>
      </c>
      <c r="F510" t="s">
        <v>88</v>
      </c>
      <c r="G510">
        <v>69</v>
      </c>
      <c r="H510" t="s">
        <v>847</v>
      </c>
      <c r="I510" t="s">
        <v>34</v>
      </c>
      <c r="J510">
        <v>44</v>
      </c>
      <c r="K510">
        <v>45</v>
      </c>
      <c r="L510">
        <v>3.3</v>
      </c>
      <c r="M510" t="s">
        <v>14</v>
      </c>
      <c r="N510" s="2">
        <v>747.61</v>
      </c>
      <c r="O510" s="2" t="str">
        <f>IF(EHR_Export[[#This Row],[Arrival Time]]&lt;=TIME(7,0,0), "Night", IF(EHR_Export[[#This Row],[Arrival Time]]&lt;TIME(15,0,0), "Day", "Evening"))</f>
        <v>Day</v>
      </c>
      <c r="P510" cm="1">
        <f t="array" ref="P5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511" spans="1:16" x14ac:dyDescent="0.25">
      <c r="A511" t="s">
        <v>1021</v>
      </c>
      <c r="B511" s="1">
        <v>46081</v>
      </c>
      <c r="C511" s="4">
        <v>0.2590277777777778</v>
      </c>
      <c r="D511" t="s">
        <v>28</v>
      </c>
      <c r="E511" t="s">
        <v>23</v>
      </c>
      <c r="F511" t="s">
        <v>200</v>
      </c>
      <c r="G511">
        <v>32</v>
      </c>
      <c r="H511" t="s">
        <v>847</v>
      </c>
      <c r="I511" t="s">
        <v>34</v>
      </c>
      <c r="J511">
        <v>51</v>
      </c>
      <c r="K511">
        <v>50</v>
      </c>
      <c r="L511">
        <v>2.8</v>
      </c>
      <c r="M511" t="s">
        <v>14</v>
      </c>
      <c r="N511" s="2">
        <v>994.27</v>
      </c>
      <c r="O511" s="2" t="str">
        <f>IF(EHR_Export[[#This Row],[Arrival Time]]&lt;=TIME(7,0,0), "Night", IF(EHR_Export[[#This Row],[Arrival Time]]&lt;TIME(15,0,0), "Day", "Evening"))</f>
        <v>Night</v>
      </c>
      <c r="P511" cm="1">
        <f t="array" ref="P5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12" spans="1:16" x14ac:dyDescent="0.25">
      <c r="A512" t="s">
        <v>1129</v>
      </c>
      <c r="B512" s="1">
        <v>46081</v>
      </c>
      <c r="C512" s="4">
        <v>0.95486111111111116</v>
      </c>
      <c r="D512" t="s">
        <v>28</v>
      </c>
      <c r="E512" t="s">
        <v>23</v>
      </c>
      <c r="F512" t="s">
        <v>308</v>
      </c>
      <c r="G512">
        <v>84</v>
      </c>
      <c r="H512" t="s">
        <v>849</v>
      </c>
      <c r="I512" t="s">
        <v>25</v>
      </c>
      <c r="J512">
        <v>68</v>
      </c>
      <c r="K512">
        <v>24</v>
      </c>
      <c r="L512">
        <v>2.8</v>
      </c>
      <c r="M512" t="s">
        <v>14</v>
      </c>
      <c r="N512" s="2">
        <v>687.38</v>
      </c>
      <c r="O512" s="2" t="str">
        <f>IF(EHR_Export[[#This Row],[Arrival Time]]&lt;=TIME(7,0,0), "Night", IF(EHR_Export[[#This Row],[Arrival Time]]&lt;TIME(15,0,0), "Day", "Evening"))</f>
        <v>Evening</v>
      </c>
      <c r="P512" cm="1">
        <f t="array" ref="P5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13" spans="1:16" x14ac:dyDescent="0.25">
      <c r="A513" t="s">
        <v>1255</v>
      </c>
      <c r="B513" s="1">
        <v>46081</v>
      </c>
      <c r="C513" s="4">
        <v>0.12847222222222221</v>
      </c>
      <c r="D513" t="s">
        <v>28</v>
      </c>
      <c r="E513" t="s">
        <v>23</v>
      </c>
      <c r="F513" t="s">
        <v>434</v>
      </c>
      <c r="G513">
        <v>31</v>
      </c>
      <c r="H513" t="s">
        <v>849</v>
      </c>
      <c r="I513" t="s">
        <v>25</v>
      </c>
      <c r="J513">
        <v>81</v>
      </c>
      <c r="K513">
        <v>22</v>
      </c>
      <c r="L513">
        <v>3</v>
      </c>
      <c r="M513" t="s">
        <v>14</v>
      </c>
      <c r="N513" s="2">
        <v>1167.21</v>
      </c>
      <c r="O513" s="2" t="str">
        <f>IF(EHR_Export[[#This Row],[Arrival Time]]&lt;=TIME(7,0,0), "Night", IF(EHR_Export[[#This Row],[Arrival Time]]&lt;TIME(15,0,0), "Day", "Evening"))</f>
        <v>Night</v>
      </c>
      <c r="P513" cm="1">
        <f t="array" ref="P5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14" spans="1:16" x14ac:dyDescent="0.25">
      <c r="A514" t="s">
        <v>1315</v>
      </c>
      <c r="B514" s="1">
        <v>46081</v>
      </c>
      <c r="C514" s="4">
        <v>0.90902777777777777</v>
      </c>
      <c r="D514" t="s">
        <v>28</v>
      </c>
      <c r="E514" t="s">
        <v>23</v>
      </c>
      <c r="F514" t="s">
        <v>494</v>
      </c>
      <c r="G514">
        <v>52</v>
      </c>
      <c r="H514" t="s">
        <v>847</v>
      </c>
      <c r="I514" t="s">
        <v>34</v>
      </c>
      <c r="J514">
        <v>99</v>
      </c>
      <c r="K514">
        <v>49</v>
      </c>
      <c r="L514">
        <v>2.5</v>
      </c>
      <c r="N514" s="2">
        <v>821.49</v>
      </c>
      <c r="O514" s="2" t="str">
        <f>IF(EHR_Export[[#This Row],[Arrival Time]]&lt;=TIME(7,0,0), "Night", IF(EHR_Export[[#This Row],[Arrival Time]]&lt;TIME(15,0,0), "Day", "Evening"))</f>
        <v>Evening</v>
      </c>
      <c r="P514" cm="1">
        <f t="array" ref="P5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15" spans="1:16" x14ac:dyDescent="0.25">
      <c r="A515" t="s">
        <v>1330</v>
      </c>
      <c r="B515" s="1">
        <v>46081</v>
      </c>
      <c r="C515" s="4">
        <v>0.88055555555555554</v>
      </c>
      <c r="D515" t="s">
        <v>28</v>
      </c>
      <c r="E515" t="s">
        <v>23</v>
      </c>
      <c r="F515" t="s">
        <v>509</v>
      </c>
      <c r="G515">
        <v>44</v>
      </c>
      <c r="H515" t="s">
        <v>847</v>
      </c>
      <c r="I515" t="s">
        <v>13</v>
      </c>
      <c r="J515">
        <v>50</v>
      </c>
      <c r="K515">
        <v>27</v>
      </c>
      <c r="L515">
        <v>3.3</v>
      </c>
      <c r="M515" t="s">
        <v>14</v>
      </c>
      <c r="N515" s="2">
        <v>848.42</v>
      </c>
      <c r="O515" s="2" t="str">
        <f>IF(EHR_Export[[#This Row],[Arrival Time]]&lt;=TIME(7,0,0), "Night", IF(EHR_Export[[#This Row],[Arrival Time]]&lt;TIME(15,0,0), "Day", "Evening"))</f>
        <v>Evening</v>
      </c>
      <c r="P515" cm="1">
        <f t="array" ref="P5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16" spans="1:16" x14ac:dyDescent="0.25">
      <c r="A516" t="s">
        <v>1343</v>
      </c>
      <c r="B516" s="1">
        <v>46081</v>
      </c>
      <c r="C516" s="4">
        <v>0.50277777777777777</v>
      </c>
      <c r="D516" t="s">
        <v>126</v>
      </c>
      <c r="E516" t="s">
        <v>46</v>
      </c>
      <c r="F516" t="s">
        <v>522</v>
      </c>
      <c r="G516">
        <v>35</v>
      </c>
      <c r="H516" t="s">
        <v>847</v>
      </c>
      <c r="I516" t="s">
        <v>38</v>
      </c>
      <c r="J516">
        <v>89</v>
      </c>
      <c r="K516">
        <v>37</v>
      </c>
      <c r="M516" t="s">
        <v>14</v>
      </c>
      <c r="N516" s="2">
        <v>1917.13</v>
      </c>
      <c r="O516" s="2" t="str">
        <f>IF(EHR_Export[[#This Row],[Arrival Time]]&lt;=TIME(7,0,0), "Night", IF(EHR_Export[[#This Row],[Arrival Time]]&lt;TIME(15,0,0), "Day", "Evening"))</f>
        <v>Day</v>
      </c>
      <c r="P516" cm="1">
        <f t="array" ref="P5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17" spans="1:16" x14ac:dyDescent="0.25">
      <c r="A517" t="s">
        <v>1421</v>
      </c>
      <c r="B517" s="1">
        <v>46081</v>
      </c>
      <c r="C517" s="4">
        <v>0.47847222222222224</v>
      </c>
      <c r="D517" t="s">
        <v>58</v>
      </c>
      <c r="E517" t="s">
        <v>842</v>
      </c>
      <c r="F517" t="s">
        <v>600</v>
      </c>
      <c r="G517">
        <v>71</v>
      </c>
      <c r="H517" t="s">
        <v>849</v>
      </c>
      <c r="I517" t="s">
        <v>34</v>
      </c>
      <c r="J517">
        <v>59</v>
      </c>
      <c r="K517">
        <v>72</v>
      </c>
      <c r="L517">
        <v>3.7</v>
      </c>
      <c r="M517" t="s">
        <v>14</v>
      </c>
      <c r="N517" s="2">
        <v>3400.58</v>
      </c>
      <c r="O517" s="2" t="str">
        <f>IF(EHR_Export[[#This Row],[Arrival Time]]&lt;=TIME(7,0,0), "Night", IF(EHR_Export[[#This Row],[Arrival Time]]&lt;TIME(15,0,0), "Day", "Evening"))</f>
        <v>Day</v>
      </c>
      <c r="P517" cm="1">
        <f t="array" ref="P5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18" spans="1:16" x14ac:dyDescent="0.25">
      <c r="A518" t="s">
        <v>1513</v>
      </c>
      <c r="B518" s="1">
        <v>46081</v>
      </c>
      <c r="C518" s="4">
        <v>0.5493055555555556</v>
      </c>
      <c r="D518" t="s">
        <v>28</v>
      </c>
      <c r="E518" t="s">
        <v>23</v>
      </c>
      <c r="F518" t="s">
        <v>692</v>
      </c>
      <c r="G518">
        <v>54</v>
      </c>
      <c r="H518" t="s">
        <v>847</v>
      </c>
      <c r="I518" t="s">
        <v>25</v>
      </c>
      <c r="J518">
        <v>94</v>
      </c>
      <c r="K518">
        <v>50</v>
      </c>
      <c r="L518">
        <v>1.7</v>
      </c>
      <c r="M518" t="s">
        <v>14</v>
      </c>
      <c r="N518" s="2">
        <v>933.4</v>
      </c>
      <c r="O518" s="2" t="str">
        <f>IF(EHR_Export[[#This Row],[Arrival Time]]&lt;=TIME(7,0,0), "Night", IF(EHR_Export[[#This Row],[Arrival Time]]&lt;TIME(15,0,0), "Day", "Evening"))</f>
        <v>Day</v>
      </c>
      <c r="P518" cm="1">
        <f t="array" ref="P5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19" spans="1:16" x14ac:dyDescent="0.25">
      <c r="A519" t="s">
        <v>1517</v>
      </c>
      <c r="B519" s="1">
        <v>46081</v>
      </c>
      <c r="C519" s="4">
        <v>0.36319444444444443</v>
      </c>
      <c r="D519" t="s">
        <v>48</v>
      </c>
      <c r="E519" t="s">
        <v>42</v>
      </c>
      <c r="F519" t="s">
        <v>696</v>
      </c>
      <c r="G519">
        <v>49</v>
      </c>
      <c r="H519" t="s">
        <v>849</v>
      </c>
      <c r="I519" t="s">
        <v>13</v>
      </c>
      <c r="J519">
        <v>91</v>
      </c>
      <c r="K519">
        <v>60</v>
      </c>
      <c r="L519">
        <v>3.2</v>
      </c>
      <c r="M519" t="s">
        <v>14</v>
      </c>
      <c r="N519" s="2">
        <v>907.91</v>
      </c>
      <c r="O519" s="2" t="str">
        <f>IF(EHR_Export[[#This Row],[Arrival Time]]&lt;=TIME(7,0,0), "Night", IF(EHR_Export[[#This Row],[Arrival Time]]&lt;TIME(15,0,0), "Day", "Evening"))</f>
        <v>Day</v>
      </c>
      <c r="P519" cm="1">
        <f t="array" ref="P5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20" spans="1:16" x14ac:dyDescent="0.25">
      <c r="A520" t="s">
        <v>1574</v>
      </c>
      <c r="B520" s="1">
        <v>46081</v>
      </c>
      <c r="C520" s="4">
        <v>0.16944444444444445</v>
      </c>
      <c r="D520" t="s">
        <v>58</v>
      </c>
      <c r="E520" t="s">
        <v>842</v>
      </c>
      <c r="F520" t="s">
        <v>753</v>
      </c>
      <c r="G520">
        <v>39</v>
      </c>
      <c r="H520" t="s">
        <v>849</v>
      </c>
      <c r="I520" t="s">
        <v>34</v>
      </c>
      <c r="J520">
        <v>83</v>
      </c>
      <c r="K520">
        <v>118</v>
      </c>
      <c r="L520">
        <v>3.4</v>
      </c>
      <c r="M520" t="s">
        <v>14</v>
      </c>
      <c r="N520" s="2">
        <v>3362.57</v>
      </c>
      <c r="O520" s="2" t="str">
        <f>IF(EHR_Export[[#This Row],[Arrival Time]]&lt;=TIME(7,0,0), "Night", IF(EHR_Export[[#This Row],[Arrival Time]]&lt;TIME(15,0,0), "Day", "Evening"))</f>
        <v>Night</v>
      </c>
      <c r="P520" cm="1">
        <f t="array" ref="P5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521" spans="1:16" x14ac:dyDescent="0.25">
      <c r="A521" t="s">
        <v>866</v>
      </c>
      <c r="B521" s="1">
        <v>46082</v>
      </c>
      <c r="C521" s="4">
        <v>0.74236111111111114</v>
      </c>
      <c r="D521" t="s">
        <v>28</v>
      </c>
      <c r="E521" t="s">
        <v>23</v>
      </c>
      <c r="F521" t="s">
        <v>39</v>
      </c>
      <c r="G521">
        <v>62</v>
      </c>
      <c r="H521" t="s">
        <v>849</v>
      </c>
      <c r="I521" t="s">
        <v>25</v>
      </c>
      <c r="J521">
        <v>88</v>
      </c>
      <c r="K521">
        <v>41</v>
      </c>
      <c r="L521">
        <v>2.2000000000000002</v>
      </c>
      <c r="M521" t="s">
        <v>14</v>
      </c>
      <c r="N521" s="2">
        <v>1071.25</v>
      </c>
      <c r="O521" s="2" t="str">
        <f>IF(EHR_Export[[#This Row],[Arrival Time]]&lt;=TIME(7,0,0), "Night", IF(EHR_Export[[#This Row],[Arrival Time]]&lt;TIME(15,0,0), "Day", "Evening"))</f>
        <v>Evening</v>
      </c>
      <c r="P521" cm="1">
        <f t="array" ref="P5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22" spans="1:16" x14ac:dyDescent="0.25">
      <c r="A522" t="s">
        <v>897</v>
      </c>
      <c r="B522" s="1">
        <v>46082</v>
      </c>
      <c r="C522" s="4">
        <v>0.86041666666666672</v>
      </c>
      <c r="D522" t="s">
        <v>21</v>
      </c>
      <c r="E522" t="s">
        <v>53</v>
      </c>
      <c r="F522" t="s">
        <v>75</v>
      </c>
      <c r="G522">
        <v>28</v>
      </c>
      <c r="H522" t="s">
        <v>847</v>
      </c>
      <c r="I522" t="s">
        <v>38</v>
      </c>
      <c r="J522">
        <v>15</v>
      </c>
      <c r="K522">
        <v>57</v>
      </c>
      <c r="L522">
        <v>2.9</v>
      </c>
      <c r="M522" t="s">
        <v>14</v>
      </c>
      <c r="N522" s="2">
        <v>930.95</v>
      </c>
      <c r="O522" s="2" t="str">
        <f>IF(EHR_Export[[#This Row],[Arrival Time]]&lt;=TIME(7,0,0), "Night", IF(EHR_Export[[#This Row],[Arrival Time]]&lt;TIME(15,0,0), "Day", "Evening"))</f>
        <v>Evening</v>
      </c>
      <c r="P522" cm="1">
        <f t="array" ref="P5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23" spans="1:16" x14ac:dyDescent="0.25">
      <c r="A523" t="s">
        <v>1037</v>
      </c>
      <c r="B523" s="1">
        <v>46082</v>
      </c>
      <c r="C523" s="4">
        <v>0.37361111111111112</v>
      </c>
      <c r="D523" t="s">
        <v>126</v>
      </c>
      <c r="E523" t="s">
        <v>46</v>
      </c>
      <c r="F523" t="s">
        <v>216</v>
      </c>
      <c r="G523">
        <v>35</v>
      </c>
      <c r="H523" t="s">
        <v>847</v>
      </c>
      <c r="I523" t="s">
        <v>38</v>
      </c>
      <c r="J523">
        <v>52</v>
      </c>
      <c r="K523">
        <v>59</v>
      </c>
      <c r="M523" t="s">
        <v>14</v>
      </c>
      <c r="N523" s="2">
        <v>1292.52</v>
      </c>
      <c r="O523" s="2" t="str">
        <f>IF(EHR_Export[[#This Row],[Arrival Time]]&lt;=TIME(7,0,0), "Night", IF(EHR_Export[[#This Row],[Arrival Time]]&lt;TIME(15,0,0), "Day", "Evening"))</f>
        <v>Day</v>
      </c>
      <c r="P523" cm="1">
        <f t="array" ref="P5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24" spans="1:16" x14ac:dyDescent="0.25">
      <c r="A524" t="s">
        <v>1070</v>
      </c>
      <c r="B524" s="1">
        <v>46082</v>
      </c>
      <c r="C524" s="4">
        <v>0.75</v>
      </c>
      <c r="D524" t="s">
        <v>28</v>
      </c>
      <c r="E524" t="s">
        <v>23</v>
      </c>
      <c r="F524" t="s">
        <v>249</v>
      </c>
      <c r="G524">
        <v>46</v>
      </c>
      <c r="H524" t="s">
        <v>849</v>
      </c>
      <c r="I524" t="s">
        <v>25</v>
      </c>
      <c r="J524">
        <v>82</v>
      </c>
      <c r="K524">
        <v>30</v>
      </c>
      <c r="L524">
        <v>3.7</v>
      </c>
      <c r="M524" t="s">
        <v>14</v>
      </c>
      <c r="N524" s="2">
        <v>1132.79</v>
      </c>
      <c r="O524" s="2" t="str">
        <f>IF(EHR_Export[[#This Row],[Arrival Time]]&lt;=TIME(7,0,0), "Night", IF(EHR_Export[[#This Row],[Arrival Time]]&lt;TIME(15,0,0), "Day", "Evening"))</f>
        <v>Evening</v>
      </c>
      <c r="P524" cm="1">
        <f t="array" ref="P5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25" spans="1:16" x14ac:dyDescent="0.25">
      <c r="A525" t="s">
        <v>1081</v>
      </c>
      <c r="B525" s="1">
        <v>46082</v>
      </c>
      <c r="C525" s="4">
        <v>0.38124999999999998</v>
      </c>
      <c r="D525" t="s">
        <v>58</v>
      </c>
      <c r="E525" t="s">
        <v>842</v>
      </c>
      <c r="F525" t="s">
        <v>260</v>
      </c>
      <c r="G525">
        <v>60</v>
      </c>
      <c r="H525" t="s">
        <v>849</v>
      </c>
      <c r="I525" t="s">
        <v>34</v>
      </c>
      <c r="J525">
        <v>59</v>
      </c>
      <c r="K525">
        <v>110</v>
      </c>
      <c r="L525">
        <v>3.3</v>
      </c>
      <c r="M525" t="s">
        <v>18</v>
      </c>
      <c r="N525" s="2">
        <v>2336.13</v>
      </c>
      <c r="O525" s="2" t="str">
        <f>IF(EHR_Export[[#This Row],[Arrival Time]]&lt;=TIME(7,0,0), "Night", IF(EHR_Export[[#This Row],[Arrival Time]]&lt;TIME(15,0,0), "Day", "Evening"))</f>
        <v>Day</v>
      </c>
      <c r="P525" cm="1">
        <f t="array" ref="P5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26" spans="1:16" x14ac:dyDescent="0.25">
      <c r="A526" t="s">
        <v>1148</v>
      </c>
      <c r="B526" s="1">
        <v>46082</v>
      </c>
      <c r="C526" s="4">
        <v>0.71527777777777779</v>
      </c>
      <c r="D526" t="s">
        <v>28</v>
      </c>
      <c r="E526" t="s">
        <v>23</v>
      </c>
      <c r="F526" t="s">
        <v>327</v>
      </c>
      <c r="G526">
        <v>69</v>
      </c>
      <c r="H526" t="s">
        <v>849</v>
      </c>
      <c r="I526" t="s">
        <v>38</v>
      </c>
      <c r="J526">
        <v>95</v>
      </c>
      <c r="K526">
        <v>62</v>
      </c>
      <c r="M526" t="s">
        <v>14</v>
      </c>
      <c r="N526" s="2">
        <v>890.66</v>
      </c>
      <c r="O526" s="2" t="str">
        <f>IF(EHR_Export[[#This Row],[Arrival Time]]&lt;=TIME(7,0,0), "Night", IF(EHR_Export[[#This Row],[Arrival Time]]&lt;TIME(15,0,0), "Day", "Evening"))</f>
        <v>Evening</v>
      </c>
      <c r="P526" cm="1">
        <f t="array" ref="P5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27" spans="1:16" x14ac:dyDescent="0.25">
      <c r="A527" t="s">
        <v>1166</v>
      </c>
      <c r="B527" s="1">
        <v>46082</v>
      </c>
      <c r="C527" s="4">
        <v>0.38263888888888886</v>
      </c>
      <c r="D527" t="s">
        <v>21</v>
      </c>
      <c r="E527" t="s">
        <v>53</v>
      </c>
      <c r="F527" t="s">
        <v>345</v>
      </c>
      <c r="G527">
        <v>31</v>
      </c>
      <c r="H527" t="s">
        <v>847</v>
      </c>
      <c r="I527" t="s">
        <v>38</v>
      </c>
      <c r="J527">
        <v>60</v>
      </c>
      <c r="K527">
        <v>42</v>
      </c>
      <c r="L527">
        <v>3.2</v>
      </c>
      <c r="M527" t="s">
        <v>14</v>
      </c>
      <c r="N527" s="2">
        <v>352.29</v>
      </c>
      <c r="O527" s="2" t="str">
        <f>IF(EHR_Export[[#This Row],[Arrival Time]]&lt;=TIME(7,0,0), "Night", IF(EHR_Export[[#This Row],[Arrival Time]]&lt;TIME(15,0,0), "Day", "Evening"))</f>
        <v>Day</v>
      </c>
      <c r="P527" cm="1">
        <f t="array" ref="P5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28" spans="1:16" x14ac:dyDescent="0.25">
      <c r="A528" t="s">
        <v>1183</v>
      </c>
      <c r="B528" s="1">
        <v>46082</v>
      </c>
      <c r="C528" s="4">
        <v>0.55833333333333335</v>
      </c>
      <c r="D528" t="s">
        <v>28</v>
      </c>
      <c r="E528" t="s">
        <v>23</v>
      </c>
      <c r="F528" t="s">
        <v>362</v>
      </c>
      <c r="G528">
        <v>41</v>
      </c>
      <c r="H528" t="s">
        <v>847</v>
      </c>
      <c r="I528" t="s">
        <v>25</v>
      </c>
      <c r="J528">
        <v>47</v>
      </c>
      <c r="K528">
        <v>10</v>
      </c>
      <c r="L528">
        <v>3.3</v>
      </c>
      <c r="M528" t="s">
        <v>14</v>
      </c>
      <c r="N528" s="2">
        <v>1159.0999999999999</v>
      </c>
      <c r="O528" s="2" t="str">
        <f>IF(EHR_Export[[#This Row],[Arrival Time]]&lt;=TIME(7,0,0), "Night", IF(EHR_Export[[#This Row],[Arrival Time]]&lt;TIME(15,0,0), "Day", "Evening"))</f>
        <v>Day</v>
      </c>
      <c r="P528" cm="1">
        <f t="array" ref="P5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29" spans="1:16" x14ac:dyDescent="0.25">
      <c r="A529" t="s">
        <v>1376</v>
      </c>
      <c r="B529" s="1">
        <v>46082</v>
      </c>
      <c r="C529" s="4">
        <v>0.90069444444444446</v>
      </c>
      <c r="D529" t="s">
        <v>28</v>
      </c>
      <c r="E529" t="s">
        <v>23</v>
      </c>
      <c r="F529" t="s">
        <v>555</v>
      </c>
      <c r="G529">
        <v>60</v>
      </c>
      <c r="H529" t="s">
        <v>849</v>
      </c>
      <c r="I529" t="s">
        <v>25</v>
      </c>
      <c r="J529">
        <v>64</v>
      </c>
      <c r="K529">
        <v>29</v>
      </c>
      <c r="M529" t="s">
        <v>14</v>
      </c>
      <c r="N529" s="2">
        <v>527.03</v>
      </c>
      <c r="O529" s="2" t="str">
        <f>IF(EHR_Export[[#This Row],[Arrival Time]]&lt;=TIME(7,0,0), "Night", IF(EHR_Export[[#This Row],[Arrival Time]]&lt;TIME(15,0,0), "Day", "Evening"))</f>
        <v>Evening</v>
      </c>
      <c r="P529" cm="1">
        <f t="array" ref="P5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30" spans="1:16" x14ac:dyDescent="0.25">
      <c r="A530" t="s">
        <v>1424</v>
      </c>
      <c r="B530" s="1">
        <v>46082</v>
      </c>
      <c r="C530" s="4">
        <v>0.48749999999999999</v>
      </c>
      <c r="D530" t="s">
        <v>58</v>
      </c>
      <c r="E530" t="s">
        <v>842</v>
      </c>
      <c r="F530" t="s">
        <v>603</v>
      </c>
      <c r="G530">
        <v>50</v>
      </c>
      <c r="H530" t="s">
        <v>847</v>
      </c>
      <c r="I530" t="s">
        <v>38</v>
      </c>
      <c r="J530">
        <v>87</v>
      </c>
      <c r="K530">
        <v>89</v>
      </c>
      <c r="L530">
        <v>3.1</v>
      </c>
      <c r="M530" t="s">
        <v>18</v>
      </c>
      <c r="N530" s="2">
        <v>2866.8</v>
      </c>
      <c r="O530" s="2" t="str">
        <f>IF(EHR_Export[[#This Row],[Arrival Time]]&lt;=TIME(7,0,0), "Night", IF(EHR_Export[[#This Row],[Arrival Time]]&lt;TIME(15,0,0), "Day", "Evening"))</f>
        <v>Day</v>
      </c>
      <c r="P530" cm="1">
        <f t="array" ref="P5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31" spans="1:16" x14ac:dyDescent="0.25">
      <c r="A531" t="s">
        <v>1070</v>
      </c>
      <c r="B531" s="1">
        <v>46082</v>
      </c>
      <c r="C531" s="4">
        <v>0.75</v>
      </c>
      <c r="D531" t="s">
        <v>28</v>
      </c>
      <c r="E531" t="s">
        <v>23</v>
      </c>
      <c r="F531" t="s">
        <v>249</v>
      </c>
      <c r="G531">
        <v>46</v>
      </c>
      <c r="H531" t="s">
        <v>849</v>
      </c>
      <c r="I531" t="s">
        <v>25</v>
      </c>
      <c r="J531">
        <v>82</v>
      </c>
      <c r="K531">
        <v>30</v>
      </c>
      <c r="L531">
        <v>3.7</v>
      </c>
      <c r="M531" t="s">
        <v>14</v>
      </c>
      <c r="N531" s="2">
        <v>1132.79</v>
      </c>
      <c r="O531" s="2" t="str">
        <f>IF(EHR_Export[[#This Row],[Arrival Time]]&lt;=TIME(7,0,0), "Night", IF(EHR_Export[[#This Row],[Arrival Time]]&lt;TIME(15,0,0), "Day", "Evening"))</f>
        <v>Evening</v>
      </c>
      <c r="P531" cm="1">
        <f t="array" ref="P5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32" spans="1:16" x14ac:dyDescent="0.25">
      <c r="A532" t="s">
        <v>1522</v>
      </c>
      <c r="B532" s="1">
        <v>46082</v>
      </c>
      <c r="C532" s="4">
        <v>0.56458333333333333</v>
      </c>
      <c r="D532" t="s">
        <v>21</v>
      </c>
      <c r="E532" t="s">
        <v>53</v>
      </c>
      <c r="F532" t="s">
        <v>701</v>
      </c>
      <c r="G532">
        <v>54</v>
      </c>
      <c r="H532" t="s">
        <v>849</v>
      </c>
      <c r="I532" t="s">
        <v>34</v>
      </c>
      <c r="J532">
        <v>42</v>
      </c>
      <c r="K532">
        <v>29</v>
      </c>
      <c r="L532">
        <v>3.2</v>
      </c>
      <c r="M532" t="s">
        <v>14</v>
      </c>
      <c r="N532" s="2">
        <v>1014.05</v>
      </c>
      <c r="O532" s="2" t="str">
        <f>IF(EHR_Export[[#This Row],[Arrival Time]]&lt;=TIME(7,0,0), "Night", IF(EHR_Export[[#This Row],[Arrival Time]]&lt;TIME(15,0,0), "Day", "Evening"))</f>
        <v>Day</v>
      </c>
      <c r="P532" cm="1">
        <f t="array" ref="P5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33" spans="1:16" x14ac:dyDescent="0.25">
      <c r="A533" t="s">
        <v>1524</v>
      </c>
      <c r="B533" s="1">
        <v>46082</v>
      </c>
      <c r="C533" s="4">
        <v>0.58888888888888891</v>
      </c>
      <c r="D533" t="s">
        <v>28</v>
      </c>
      <c r="E533" t="s">
        <v>23</v>
      </c>
      <c r="F533" t="s">
        <v>703</v>
      </c>
      <c r="G533">
        <v>22</v>
      </c>
      <c r="H533" t="s">
        <v>847</v>
      </c>
      <c r="I533" t="s">
        <v>38</v>
      </c>
      <c r="J533">
        <v>50</v>
      </c>
      <c r="K533">
        <v>35</v>
      </c>
      <c r="L533">
        <v>2.8</v>
      </c>
      <c r="M533" t="s">
        <v>14</v>
      </c>
      <c r="N533" s="2">
        <v>1106.02</v>
      </c>
      <c r="O533" s="2" t="str">
        <f>IF(EHR_Export[[#This Row],[Arrival Time]]&lt;=TIME(7,0,0), "Night", IF(EHR_Export[[#This Row],[Arrival Time]]&lt;TIME(15,0,0), "Day", "Evening"))</f>
        <v>Day</v>
      </c>
      <c r="P533" cm="1">
        <f t="array" ref="P5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34" spans="1:16" x14ac:dyDescent="0.25">
      <c r="A534" t="s">
        <v>1547</v>
      </c>
      <c r="B534" s="1">
        <v>46082</v>
      </c>
      <c r="C534" s="4">
        <v>0.58333333333333337</v>
      </c>
      <c r="D534" t="s">
        <v>126</v>
      </c>
      <c r="E534" t="s">
        <v>46</v>
      </c>
      <c r="F534" t="s">
        <v>726</v>
      </c>
      <c r="G534">
        <v>61</v>
      </c>
      <c r="H534" t="s">
        <v>849</v>
      </c>
      <c r="I534" t="s">
        <v>25</v>
      </c>
      <c r="J534">
        <v>32</v>
      </c>
      <c r="K534">
        <v>34</v>
      </c>
      <c r="L534">
        <v>4.5999999999999996</v>
      </c>
      <c r="M534" t="s">
        <v>14</v>
      </c>
      <c r="N534" s="2">
        <v>2080.86</v>
      </c>
      <c r="O534" s="2" t="str">
        <f>IF(EHR_Export[[#This Row],[Arrival Time]]&lt;=TIME(7,0,0), "Night", IF(EHR_Export[[#This Row],[Arrival Time]]&lt;TIME(15,0,0), "Day", "Evening"))</f>
        <v>Day</v>
      </c>
      <c r="P534" cm="1">
        <f t="array" ref="P5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35" spans="1:16" x14ac:dyDescent="0.25">
      <c r="A535" t="s">
        <v>1620</v>
      </c>
      <c r="B535" s="1">
        <v>46082</v>
      </c>
      <c r="C535" s="4">
        <v>0.58333333333333337</v>
      </c>
      <c r="D535" t="s">
        <v>21</v>
      </c>
      <c r="E535" t="s">
        <v>53</v>
      </c>
      <c r="F535" t="s">
        <v>799</v>
      </c>
      <c r="G535">
        <v>41</v>
      </c>
      <c r="H535" t="s">
        <v>849</v>
      </c>
      <c r="I535" t="s">
        <v>34</v>
      </c>
      <c r="J535">
        <v>70</v>
      </c>
      <c r="K535">
        <v>47</v>
      </c>
      <c r="L535">
        <v>2.6</v>
      </c>
      <c r="M535" t="s">
        <v>14</v>
      </c>
      <c r="N535" s="2">
        <v>577</v>
      </c>
      <c r="O535" s="2" t="str">
        <f>IF(EHR_Export[[#This Row],[Arrival Time]]&lt;=TIME(7,0,0), "Night", IF(EHR_Export[[#This Row],[Arrival Time]]&lt;TIME(15,0,0), "Day", "Evening"))</f>
        <v>Day</v>
      </c>
      <c r="P535" cm="1">
        <f t="array" ref="P5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36" spans="1:16" x14ac:dyDescent="0.25">
      <c r="A536" t="s">
        <v>939</v>
      </c>
      <c r="B536" s="1">
        <v>46083</v>
      </c>
      <c r="C536" s="4">
        <v>0.74652777777777779</v>
      </c>
      <c r="D536" t="s">
        <v>28</v>
      </c>
      <c r="E536" t="s">
        <v>23</v>
      </c>
      <c r="F536" t="s">
        <v>117</v>
      </c>
      <c r="G536">
        <v>50</v>
      </c>
      <c r="H536" t="s">
        <v>849</v>
      </c>
      <c r="I536" t="s">
        <v>38</v>
      </c>
      <c r="J536">
        <v>51</v>
      </c>
      <c r="K536">
        <v>40</v>
      </c>
      <c r="L536">
        <v>3.3</v>
      </c>
      <c r="M536" t="s">
        <v>14</v>
      </c>
      <c r="N536" s="2">
        <v>783.82</v>
      </c>
      <c r="O536" s="2" t="str">
        <f>IF(EHR_Export[[#This Row],[Arrival Time]]&lt;=TIME(7,0,0), "Night", IF(EHR_Export[[#This Row],[Arrival Time]]&lt;TIME(15,0,0), "Day", "Evening"))</f>
        <v>Evening</v>
      </c>
      <c r="P536" cm="1">
        <f t="array" ref="P5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37" spans="1:16" x14ac:dyDescent="0.25">
      <c r="A537" t="s">
        <v>1064</v>
      </c>
      <c r="B537" s="1">
        <v>46083</v>
      </c>
      <c r="C537" s="4">
        <v>0.32083333333333336</v>
      </c>
      <c r="D537" t="s">
        <v>28</v>
      </c>
      <c r="E537" t="s">
        <v>23</v>
      </c>
      <c r="F537" t="s">
        <v>243</v>
      </c>
      <c r="G537">
        <v>16</v>
      </c>
      <c r="H537" t="s">
        <v>847</v>
      </c>
      <c r="I537" t="s">
        <v>38</v>
      </c>
      <c r="J537">
        <v>44</v>
      </c>
      <c r="K537">
        <v>21</v>
      </c>
      <c r="L537">
        <v>3.6</v>
      </c>
      <c r="M537" t="s">
        <v>14</v>
      </c>
      <c r="N537" s="2">
        <v>433.22</v>
      </c>
      <c r="O537" s="2" t="str">
        <f>IF(EHR_Export[[#This Row],[Arrival Time]]&lt;=TIME(7,0,0), "Night", IF(EHR_Export[[#This Row],[Arrival Time]]&lt;TIME(15,0,0), "Day", "Evening"))</f>
        <v>Day</v>
      </c>
      <c r="P537" cm="1">
        <f t="array" ref="P5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38" spans="1:16" x14ac:dyDescent="0.25">
      <c r="A538" t="s">
        <v>1161</v>
      </c>
      <c r="B538" s="1">
        <v>46083</v>
      </c>
      <c r="C538" s="4">
        <v>0.67291666666666672</v>
      </c>
      <c r="D538" t="s">
        <v>28</v>
      </c>
      <c r="E538" t="s">
        <v>23</v>
      </c>
      <c r="F538" t="s">
        <v>340</v>
      </c>
      <c r="G538">
        <v>76</v>
      </c>
      <c r="H538" t="s">
        <v>847</v>
      </c>
      <c r="I538" t="s">
        <v>13</v>
      </c>
      <c r="J538">
        <v>50</v>
      </c>
      <c r="K538">
        <v>42</v>
      </c>
      <c r="L538">
        <v>4.2</v>
      </c>
      <c r="M538" t="s">
        <v>18</v>
      </c>
      <c r="N538" s="2">
        <v>627.97</v>
      </c>
      <c r="O538" s="2" t="str">
        <f>IF(EHR_Export[[#This Row],[Arrival Time]]&lt;=TIME(7,0,0), "Night", IF(EHR_Export[[#This Row],[Arrival Time]]&lt;TIME(15,0,0), "Day", "Evening"))</f>
        <v>Evening</v>
      </c>
      <c r="P538" cm="1">
        <f t="array" ref="P5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39" spans="1:16" x14ac:dyDescent="0.25">
      <c r="A539" t="s">
        <v>1219</v>
      </c>
      <c r="B539" s="1">
        <v>46083</v>
      </c>
      <c r="C539" s="4">
        <v>0.97152777777777777</v>
      </c>
      <c r="D539" t="s">
        <v>21</v>
      </c>
      <c r="E539" t="s">
        <v>53</v>
      </c>
      <c r="F539" t="s">
        <v>398</v>
      </c>
      <c r="G539">
        <v>59</v>
      </c>
      <c r="H539" t="s">
        <v>847</v>
      </c>
      <c r="I539" t="s">
        <v>34</v>
      </c>
      <c r="J539">
        <v>40</v>
      </c>
      <c r="K539">
        <v>40</v>
      </c>
      <c r="M539" t="s">
        <v>14</v>
      </c>
      <c r="N539" s="2">
        <v>439.03</v>
      </c>
      <c r="O539" s="2" t="str">
        <f>IF(EHR_Export[[#This Row],[Arrival Time]]&lt;=TIME(7,0,0), "Night", IF(EHR_Export[[#This Row],[Arrival Time]]&lt;TIME(15,0,0), "Day", "Evening"))</f>
        <v>Evening</v>
      </c>
      <c r="P539" cm="1">
        <f t="array" ref="P5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40" spans="1:16" x14ac:dyDescent="0.25">
      <c r="A540" t="s">
        <v>1267</v>
      </c>
      <c r="B540" s="1">
        <v>46083</v>
      </c>
      <c r="C540" s="4">
        <v>0.64652777777777781</v>
      </c>
      <c r="D540" t="s">
        <v>28</v>
      </c>
      <c r="E540" t="s">
        <v>23</v>
      </c>
      <c r="F540" t="s">
        <v>446</v>
      </c>
      <c r="G540">
        <v>20</v>
      </c>
      <c r="H540" t="s">
        <v>847</v>
      </c>
      <c r="I540" t="s">
        <v>25</v>
      </c>
      <c r="J540">
        <v>34</v>
      </c>
      <c r="K540">
        <v>38</v>
      </c>
      <c r="L540">
        <v>4.5</v>
      </c>
      <c r="M540" t="s">
        <v>14</v>
      </c>
      <c r="N540" s="2">
        <v>857.97</v>
      </c>
      <c r="O540" s="2" t="str">
        <f>IF(EHR_Export[[#This Row],[Arrival Time]]&lt;=TIME(7,0,0), "Night", IF(EHR_Export[[#This Row],[Arrival Time]]&lt;TIME(15,0,0), "Day", "Evening"))</f>
        <v>Evening</v>
      </c>
      <c r="P540" cm="1">
        <f t="array" ref="P5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41" spans="1:16" x14ac:dyDescent="0.25">
      <c r="A541" t="s">
        <v>1297</v>
      </c>
      <c r="B541" s="1">
        <v>46083</v>
      </c>
      <c r="C541" s="4">
        <v>0.8666666666666667</v>
      </c>
      <c r="D541" t="s">
        <v>126</v>
      </c>
      <c r="E541" t="s">
        <v>46</v>
      </c>
      <c r="F541" t="s">
        <v>476</v>
      </c>
      <c r="G541">
        <v>22</v>
      </c>
      <c r="H541" t="s">
        <v>847</v>
      </c>
      <c r="I541" t="s">
        <v>25</v>
      </c>
      <c r="J541">
        <v>103</v>
      </c>
      <c r="K541">
        <v>71</v>
      </c>
      <c r="L541">
        <v>2.7</v>
      </c>
      <c r="M541" t="s">
        <v>14</v>
      </c>
      <c r="N541" s="2">
        <v>2274.6799999999998</v>
      </c>
      <c r="O541" s="2" t="str">
        <f>IF(EHR_Export[[#This Row],[Arrival Time]]&lt;=TIME(7,0,0), "Night", IF(EHR_Export[[#This Row],[Arrival Time]]&lt;TIME(15,0,0), "Day", "Evening"))</f>
        <v>Evening</v>
      </c>
      <c r="P541" cm="1">
        <f t="array" ref="P5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42" spans="1:16" x14ac:dyDescent="0.25">
      <c r="A542" t="s">
        <v>1353</v>
      </c>
      <c r="B542" s="1">
        <v>46083</v>
      </c>
      <c r="C542" s="4">
        <v>0.70833333333333337</v>
      </c>
      <c r="D542" t="s">
        <v>21</v>
      </c>
      <c r="E542" t="s">
        <v>53</v>
      </c>
      <c r="F542" t="s">
        <v>532</v>
      </c>
      <c r="G542">
        <v>34</v>
      </c>
      <c r="H542" t="s">
        <v>847</v>
      </c>
      <c r="I542" t="s">
        <v>25</v>
      </c>
      <c r="J542">
        <v>20</v>
      </c>
      <c r="K542">
        <v>22</v>
      </c>
      <c r="M542" t="s">
        <v>14</v>
      </c>
      <c r="N542" s="2">
        <v>604.26</v>
      </c>
      <c r="O542" s="2" t="str">
        <f>IF(EHR_Export[[#This Row],[Arrival Time]]&lt;=TIME(7,0,0), "Night", IF(EHR_Export[[#This Row],[Arrival Time]]&lt;TIME(15,0,0), "Day", "Evening"))</f>
        <v>Evening</v>
      </c>
      <c r="P542" cm="1">
        <f t="array" ref="P5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43" spans="1:16" x14ac:dyDescent="0.25">
      <c r="A543" t="s">
        <v>1398</v>
      </c>
      <c r="B543" s="1">
        <v>46083</v>
      </c>
      <c r="C543" s="4">
        <v>0.68402777777777779</v>
      </c>
      <c r="D543" t="s">
        <v>21</v>
      </c>
      <c r="E543" t="s">
        <v>53</v>
      </c>
      <c r="F543" t="s">
        <v>577</v>
      </c>
      <c r="G543">
        <v>63</v>
      </c>
      <c r="H543" t="s">
        <v>847</v>
      </c>
      <c r="I543" t="s">
        <v>38</v>
      </c>
      <c r="J543">
        <v>22</v>
      </c>
      <c r="K543">
        <v>33</v>
      </c>
      <c r="L543">
        <v>4.3</v>
      </c>
      <c r="M543" t="s">
        <v>14</v>
      </c>
      <c r="N543" s="2">
        <v>609.4</v>
      </c>
      <c r="O543" s="2" t="str">
        <f>IF(EHR_Export[[#This Row],[Arrival Time]]&lt;=TIME(7,0,0), "Night", IF(EHR_Export[[#This Row],[Arrival Time]]&lt;TIME(15,0,0), "Day", "Evening"))</f>
        <v>Evening</v>
      </c>
      <c r="P543" cm="1">
        <f t="array" ref="P5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44" spans="1:16" x14ac:dyDescent="0.25">
      <c r="A544" t="s">
        <v>1399</v>
      </c>
      <c r="B544" s="1">
        <v>46083</v>
      </c>
      <c r="C544" s="4">
        <v>0.58125000000000004</v>
      </c>
      <c r="D544" t="s">
        <v>28</v>
      </c>
      <c r="E544" t="s">
        <v>23</v>
      </c>
      <c r="F544" t="s">
        <v>578</v>
      </c>
      <c r="G544">
        <v>9</v>
      </c>
      <c r="H544" t="s">
        <v>849</v>
      </c>
      <c r="I544" t="s">
        <v>25</v>
      </c>
      <c r="J544">
        <v>42</v>
      </c>
      <c r="K544">
        <v>10</v>
      </c>
      <c r="L544">
        <v>3.1</v>
      </c>
      <c r="M544" t="s">
        <v>14</v>
      </c>
      <c r="N544" s="2">
        <v>996.52</v>
      </c>
      <c r="O544" s="2" t="str">
        <f>IF(EHR_Export[[#This Row],[Arrival Time]]&lt;=TIME(7,0,0), "Night", IF(EHR_Export[[#This Row],[Arrival Time]]&lt;TIME(15,0,0), "Day", "Evening"))</f>
        <v>Day</v>
      </c>
      <c r="P544" cm="1">
        <f t="array" ref="P5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45" spans="1:16" x14ac:dyDescent="0.25">
      <c r="A545" t="s">
        <v>1427</v>
      </c>
      <c r="B545" s="1">
        <v>46083</v>
      </c>
      <c r="C545" s="4">
        <v>0.82638888888888884</v>
      </c>
      <c r="D545" t="s">
        <v>21</v>
      </c>
      <c r="E545" t="s">
        <v>53</v>
      </c>
      <c r="F545" t="s">
        <v>606</v>
      </c>
      <c r="G545">
        <v>45</v>
      </c>
      <c r="H545" t="s">
        <v>847</v>
      </c>
      <c r="I545" t="s">
        <v>25</v>
      </c>
      <c r="J545">
        <v>18</v>
      </c>
      <c r="K545">
        <v>33</v>
      </c>
      <c r="L545">
        <v>3.5</v>
      </c>
      <c r="M545" t="s">
        <v>14</v>
      </c>
      <c r="N545" s="2">
        <v>685.7</v>
      </c>
      <c r="O545" s="2" t="str">
        <f>IF(EHR_Export[[#This Row],[Arrival Time]]&lt;=TIME(7,0,0), "Night", IF(EHR_Export[[#This Row],[Arrival Time]]&lt;TIME(15,0,0), "Day", "Evening"))</f>
        <v>Evening</v>
      </c>
      <c r="P545" cm="1">
        <f t="array" ref="P5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46" spans="1:16" x14ac:dyDescent="0.25">
      <c r="A546" t="s">
        <v>1551</v>
      </c>
      <c r="B546" s="1">
        <v>46083</v>
      </c>
      <c r="C546" s="4">
        <v>0.89097222222222228</v>
      </c>
      <c r="D546" t="s">
        <v>48</v>
      </c>
      <c r="E546" t="s">
        <v>42</v>
      </c>
      <c r="F546" t="s">
        <v>730</v>
      </c>
      <c r="G546">
        <v>48</v>
      </c>
      <c r="H546" t="s">
        <v>847</v>
      </c>
      <c r="I546" t="s">
        <v>38</v>
      </c>
      <c r="J546">
        <v>83</v>
      </c>
      <c r="K546">
        <v>37</v>
      </c>
      <c r="L546">
        <v>3.3</v>
      </c>
      <c r="M546" t="s">
        <v>14</v>
      </c>
      <c r="N546" s="2">
        <v>1510.81</v>
      </c>
      <c r="O546" s="2" t="str">
        <f>IF(EHR_Export[[#This Row],[Arrival Time]]&lt;=TIME(7,0,0), "Night", IF(EHR_Export[[#This Row],[Arrival Time]]&lt;TIME(15,0,0), "Day", "Evening"))</f>
        <v>Evening</v>
      </c>
      <c r="P546" cm="1">
        <f t="array" ref="P5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47" spans="1:16" x14ac:dyDescent="0.25">
      <c r="A547" t="s">
        <v>876</v>
      </c>
      <c r="B547" s="1">
        <v>46084</v>
      </c>
      <c r="C547" s="4">
        <v>4.3055555555555555E-2</v>
      </c>
      <c r="D547" t="s">
        <v>21</v>
      </c>
      <c r="E547" t="s">
        <v>53</v>
      </c>
      <c r="F547" t="s">
        <v>52</v>
      </c>
      <c r="G547">
        <v>19</v>
      </c>
      <c r="H547" t="s">
        <v>847</v>
      </c>
      <c r="I547" t="s">
        <v>38</v>
      </c>
      <c r="J547">
        <v>34</v>
      </c>
      <c r="K547">
        <v>39</v>
      </c>
      <c r="L547">
        <v>4.3</v>
      </c>
      <c r="M547" t="s">
        <v>14</v>
      </c>
      <c r="N547" s="2">
        <v>530.71</v>
      </c>
      <c r="O547" s="2" t="str">
        <f>IF(EHR_Export[[#This Row],[Arrival Time]]&lt;=TIME(7,0,0), "Night", IF(EHR_Export[[#This Row],[Arrival Time]]&lt;TIME(15,0,0), "Day", "Evening"))</f>
        <v>Night</v>
      </c>
      <c r="P547" cm="1">
        <f t="array" ref="P5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48" spans="1:16" x14ac:dyDescent="0.25">
      <c r="A548" t="s">
        <v>994</v>
      </c>
      <c r="B548" s="1">
        <v>46084</v>
      </c>
      <c r="C548" s="4">
        <v>0.4909722222222222</v>
      </c>
      <c r="D548" t="s">
        <v>28</v>
      </c>
      <c r="E548" t="s">
        <v>23</v>
      </c>
      <c r="F548" t="s">
        <v>173</v>
      </c>
      <c r="G548">
        <v>27</v>
      </c>
      <c r="H548" t="s">
        <v>849</v>
      </c>
      <c r="I548" t="s">
        <v>34</v>
      </c>
      <c r="J548">
        <v>51</v>
      </c>
      <c r="K548">
        <v>10</v>
      </c>
      <c r="L548">
        <v>3.8</v>
      </c>
      <c r="M548" t="s">
        <v>14</v>
      </c>
      <c r="N548" s="2">
        <v>837.09</v>
      </c>
      <c r="O548" s="2" t="str">
        <f>IF(EHR_Export[[#This Row],[Arrival Time]]&lt;=TIME(7,0,0), "Night", IF(EHR_Export[[#This Row],[Arrival Time]]&lt;TIME(15,0,0), "Day", "Evening"))</f>
        <v>Day</v>
      </c>
      <c r="P548" cm="1">
        <f t="array" ref="P5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49" spans="1:16" x14ac:dyDescent="0.25">
      <c r="A549" t="s">
        <v>1014</v>
      </c>
      <c r="B549" s="1">
        <v>46084</v>
      </c>
      <c r="C549" s="4">
        <v>0.41249999999999998</v>
      </c>
      <c r="D549" t="s">
        <v>48</v>
      </c>
      <c r="E549" t="s">
        <v>42</v>
      </c>
      <c r="F549" t="s">
        <v>193</v>
      </c>
      <c r="G549">
        <v>7</v>
      </c>
      <c r="H549" t="s">
        <v>847</v>
      </c>
      <c r="I549" t="s">
        <v>25</v>
      </c>
      <c r="J549">
        <v>48</v>
      </c>
      <c r="K549">
        <v>39</v>
      </c>
      <c r="L549">
        <v>3.4</v>
      </c>
      <c r="M549" t="s">
        <v>14</v>
      </c>
      <c r="N549" s="2">
        <v>1554.75</v>
      </c>
      <c r="O549" s="2" t="str">
        <f>IF(EHR_Export[[#This Row],[Arrival Time]]&lt;=TIME(7,0,0), "Night", IF(EHR_Export[[#This Row],[Arrival Time]]&lt;TIME(15,0,0), "Day", "Evening"))</f>
        <v>Day</v>
      </c>
      <c r="P549" cm="1">
        <f t="array" ref="P5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50" spans="1:16" x14ac:dyDescent="0.25">
      <c r="A550" t="s">
        <v>1127</v>
      </c>
      <c r="B550" s="1">
        <v>46084</v>
      </c>
      <c r="C550" s="4">
        <v>0.70347222222222228</v>
      </c>
      <c r="D550" t="s">
        <v>28</v>
      </c>
      <c r="E550" t="s">
        <v>23</v>
      </c>
      <c r="F550" t="s">
        <v>306</v>
      </c>
      <c r="G550">
        <v>119</v>
      </c>
      <c r="H550" t="s">
        <v>849</v>
      </c>
      <c r="I550" t="s">
        <v>34</v>
      </c>
      <c r="J550">
        <v>85</v>
      </c>
      <c r="K550">
        <v>64</v>
      </c>
      <c r="L550">
        <v>2.8</v>
      </c>
      <c r="M550" t="s">
        <v>14</v>
      </c>
      <c r="N550" s="2">
        <v>623.75</v>
      </c>
      <c r="O550" s="2" t="str">
        <f>IF(EHR_Export[[#This Row],[Arrival Time]]&lt;=TIME(7,0,0), "Night", IF(EHR_Export[[#This Row],[Arrival Time]]&lt;TIME(15,0,0), "Day", "Evening"))</f>
        <v>Evening</v>
      </c>
      <c r="P550" cm="1">
        <f t="array" ref="P5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51" spans="1:16" x14ac:dyDescent="0.25">
      <c r="A551" t="s">
        <v>1222</v>
      </c>
      <c r="B551" s="1">
        <v>46084</v>
      </c>
      <c r="C551" s="4">
        <v>0.33541666666666664</v>
      </c>
      <c r="D551" t="s">
        <v>21</v>
      </c>
      <c r="E551" t="s">
        <v>53</v>
      </c>
      <c r="F551" t="s">
        <v>401</v>
      </c>
      <c r="G551">
        <v>83</v>
      </c>
      <c r="H551" t="s">
        <v>849</v>
      </c>
      <c r="I551" t="s">
        <v>34</v>
      </c>
      <c r="J551">
        <v>9</v>
      </c>
      <c r="K551">
        <v>65</v>
      </c>
      <c r="L551">
        <v>3.7</v>
      </c>
      <c r="M551" t="s">
        <v>14</v>
      </c>
      <c r="N551" s="2">
        <v>631.66999999999996</v>
      </c>
      <c r="O551" s="2" t="str">
        <f>IF(EHR_Export[[#This Row],[Arrival Time]]&lt;=TIME(7,0,0), "Night", IF(EHR_Export[[#This Row],[Arrival Time]]&lt;TIME(15,0,0), "Day", "Evening"))</f>
        <v>Day</v>
      </c>
      <c r="P551" cm="1">
        <f t="array" ref="P5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552" spans="1:16" x14ac:dyDescent="0.25">
      <c r="A552" t="s">
        <v>1301</v>
      </c>
      <c r="B552" s="1">
        <v>46084</v>
      </c>
      <c r="C552" s="4">
        <v>0.78263888888888888</v>
      </c>
      <c r="D552" t="s">
        <v>58</v>
      </c>
      <c r="E552" t="s">
        <v>842</v>
      </c>
      <c r="F552" t="s">
        <v>480</v>
      </c>
      <c r="G552">
        <v>21</v>
      </c>
      <c r="H552" t="s">
        <v>849</v>
      </c>
      <c r="I552" t="s">
        <v>25</v>
      </c>
      <c r="J552">
        <v>62</v>
      </c>
      <c r="K552">
        <v>90</v>
      </c>
      <c r="L552">
        <v>3.5</v>
      </c>
      <c r="M552" t="s">
        <v>14</v>
      </c>
      <c r="N552" s="2">
        <v>3386.91</v>
      </c>
      <c r="O552" s="2" t="str">
        <f>IF(EHR_Export[[#This Row],[Arrival Time]]&lt;=TIME(7,0,0), "Night", IF(EHR_Export[[#This Row],[Arrival Time]]&lt;TIME(15,0,0), "Day", "Evening"))</f>
        <v>Evening</v>
      </c>
      <c r="P552" cm="1">
        <f t="array" ref="P5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53" spans="1:16" x14ac:dyDescent="0.25">
      <c r="A553" t="s">
        <v>1340</v>
      </c>
      <c r="B553" s="1">
        <v>46084</v>
      </c>
      <c r="C553" s="4">
        <v>0.54861111111111116</v>
      </c>
      <c r="D553" t="s">
        <v>28</v>
      </c>
      <c r="E553" t="s">
        <v>23</v>
      </c>
      <c r="F553" t="s">
        <v>519</v>
      </c>
      <c r="G553">
        <v>10</v>
      </c>
      <c r="H553" t="s">
        <v>847</v>
      </c>
      <c r="I553" t="s">
        <v>25</v>
      </c>
      <c r="J553">
        <v>55</v>
      </c>
      <c r="K553">
        <v>55</v>
      </c>
      <c r="L553">
        <v>4.5</v>
      </c>
      <c r="N553" s="2">
        <v>807.03</v>
      </c>
      <c r="O553" s="2" t="str">
        <f>IF(EHR_Export[[#This Row],[Arrival Time]]&lt;=TIME(7,0,0), "Night", IF(EHR_Export[[#This Row],[Arrival Time]]&lt;TIME(15,0,0), "Day", "Evening"))</f>
        <v>Day</v>
      </c>
      <c r="P553" cm="1">
        <f t="array" ref="P5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54" spans="1:16" x14ac:dyDescent="0.25">
      <c r="A554" t="s">
        <v>1438</v>
      </c>
      <c r="B554" s="1">
        <v>46084</v>
      </c>
      <c r="C554" s="4">
        <v>0.71180555555555558</v>
      </c>
      <c r="D554" t="s">
        <v>21</v>
      </c>
      <c r="E554" t="s">
        <v>53</v>
      </c>
      <c r="F554" t="s">
        <v>617</v>
      </c>
      <c r="G554">
        <v>57</v>
      </c>
      <c r="H554" t="s">
        <v>847</v>
      </c>
      <c r="I554" t="s">
        <v>25</v>
      </c>
      <c r="J554">
        <v>32</v>
      </c>
      <c r="K554">
        <v>76</v>
      </c>
      <c r="L554">
        <v>4.3</v>
      </c>
      <c r="M554" t="s">
        <v>14</v>
      </c>
      <c r="N554" s="2">
        <v>701.5</v>
      </c>
      <c r="O554" s="2" t="str">
        <f>IF(EHR_Export[[#This Row],[Arrival Time]]&lt;=TIME(7,0,0), "Night", IF(EHR_Export[[#This Row],[Arrival Time]]&lt;TIME(15,0,0), "Day", "Evening"))</f>
        <v>Evening</v>
      </c>
      <c r="P554" cm="1">
        <f t="array" ref="P5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55" spans="1:16" x14ac:dyDescent="0.25">
      <c r="A555" t="s">
        <v>1639</v>
      </c>
      <c r="B555" s="1">
        <v>46084</v>
      </c>
      <c r="C555" s="4">
        <v>0.7416666666666667</v>
      </c>
      <c r="D555" t="s">
        <v>28</v>
      </c>
      <c r="E555" t="s">
        <v>23</v>
      </c>
      <c r="F555" t="s">
        <v>818</v>
      </c>
      <c r="G555">
        <v>31</v>
      </c>
      <c r="H555" t="s">
        <v>849</v>
      </c>
      <c r="I555" t="s">
        <v>34</v>
      </c>
      <c r="J555">
        <v>63</v>
      </c>
      <c r="K555">
        <v>60</v>
      </c>
      <c r="M555" t="s">
        <v>14</v>
      </c>
      <c r="N555" s="2">
        <v>854.63</v>
      </c>
      <c r="O555" s="2" t="str">
        <f>IF(EHR_Export[[#This Row],[Arrival Time]]&lt;=TIME(7,0,0), "Night", IF(EHR_Export[[#This Row],[Arrival Time]]&lt;TIME(15,0,0), "Day", "Evening"))</f>
        <v>Evening</v>
      </c>
      <c r="P555" cm="1">
        <f t="array" ref="P5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56" spans="1:16" x14ac:dyDescent="0.25">
      <c r="A556" t="s">
        <v>894</v>
      </c>
      <c r="B556" s="1">
        <v>46085</v>
      </c>
      <c r="C556" s="4">
        <v>0.71944444444444444</v>
      </c>
      <c r="D556" t="s">
        <v>48</v>
      </c>
      <c r="E556" t="s">
        <v>42</v>
      </c>
      <c r="F556" t="s">
        <v>72</v>
      </c>
      <c r="G556">
        <v>48</v>
      </c>
      <c r="H556" t="s">
        <v>849</v>
      </c>
      <c r="I556" t="s">
        <v>34</v>
      </c>
      <c r="J556">
        <v>76</v>
      </c>
      <c r="K556">
        <v>33</v>
      </c>
      <c r="L556">
        <v>3.7</v>
      </c>
      <c r="M556" t="s">
        <v>14</v>
      </c>
      <c r="N556" s="2">
        <v>2389.2399999999998</v>
      </c>
      <c r="O556" s="2" t="str">
        <f>IF(EHR_Export[[#This Row],[Arrival Time]]&lt;=TIME(7,0,0), "Night", IF(EHR_Export[[#This Row],[Arrival Time]]&lt;TIME(15,0,0), "Day", "Evening"))</f>
        <v>Evening</v>
      </c>
      <c r="P556" cm="1">
        <f t="array" ref="P5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57" spans="1:16" x14ac:dyDescent="0.25">
      <c r="A557" t="s">
        <v>917</v>
      </c>
      <c r="B557" s="1">
        <v>46085</v>
      </c>
      <c r="C557" s="4">
        <v>0.31666666666666665</v>
      </c>
      <c r="D557" t="s">
        <v>58</v>
      </c>
      <c r="E557" t="s">
        <v>842</v>
      </c>
      <c r="F557" t="s">
        <v>95</v>
      </c>
      <c r="G557">
        <v>6</v>
      </c>
      <c r="H557" t="s">
        <v>847</v>
      </c>
      <c r="I557" t="s">
        <v>34</v>
      </c>
      <c r="J557">
        <v>72</v>
      </c>
      <c r="K557">
        <v>71</v>
      </c>
      <c r="L557">
        <v>3.2</v>
      </c>
      <c r="M557" t="s">
        <v>14</v>
      </c>
      <c r="N557" s="2">
        <v>2161.6799999999998</v>
      </c>
      <c r="O557" s="2" t="str">
        <f>IF(EHR_Export[[#This Row],[Arrival Time]]&lt;=TIME(7,0,0), "Night", IF(EHR_Export[[#This Row],[Arrival Time]]&lt;TIME(15,0,0), "Day", "Evening"))</f>
        <v>Day</v>
      </c>
      <c r="P557" cm="1">
        <f t="array" ref="P5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558" spans="1:16" x14ac:dyDescent="0.25">
      <c r="A558" t="s">
        <v>1113</v>
      </c>
      <c r="B558" s="1">
        <v>46085</v>
      </c>
      <c r="C558" s="4">
        <v>0.7944444444444444</v>
      </c>
      <c r="D558" t="s">
        <v>58</v>
      </c>
      <c r="E558" t="s">
        <v>842</v>
      </c>
      <c r="F558" t="s">
        <v>292</v>
      </c>
      <c r="G558">
        <v>63</v>
      </c>
      <c r="H558" t="s">
        <v>849</v>
      </c>
      <c r="I558" t="s">
        <v>38</v>
      </c>
      <c r="J558">
        <v>77</v>
      </c>
      <c r="K558">
        <v>64</v>
      </c>
      <c r="L558">
        <v>2.1</v>
      </c>
      <c r="M558" t="s">
        <v>18</v>
      </c>
      <c r="N558" s="2">
        <v>2956.91</v>
      </c>
      <c r="O558" s="2" t="str">
        <f>IF(EHR_Export[[#This Row],[Arrival Time]]&lt;=TIME(7,0,0), "Night", IF(EHR_Export[[#This Row],[Arrival Time]]&lt;TIME(15,0,0), "Day", "Evening"))</f>
        <v>Evening</v>
      </c>
      <c r="P558" cm="1">
        <f t="array" ref="P5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59" spans="1:16" x14ac:dyDescent="0.25">
      <c r="A559" t="s">
        <v>1313</v>
      </c>
      <c r="B559" s="1">
        <v>46085</v>
      </c>
      <c r="C559" s="4">
        <v>0.74375000000000002</v>
      </c>
      <c r="D559" t="s">
        <v>48</v>
      </c>
      <c r="E559" t="s">
        <v>42</v>
      </c>
      <c r="F559" t="s">
        <v>492</v>
      </c>
      <c r="G559">
        <v>44</v>
      </c>
      <c r="H559" t="s">
        <v>847</v>
      </c>
      <c r="I559" t="s">
        <v>13</v>
      </c>
      <c r="J559">
        <v>87</v>
      </c>
      <c r="K559">
        <v>52</v>
      </c>
      <c r="L559">
        <v>2.9</v>
      </c>
      <c r="M559" t="s">
        <v>14</v>
      </c>
      <c r="N559" s="2">
        <v>1472.07</v>
      </c>
      <c r="O559" s="2" t="str">
        <f>IF(EHR_Export[[#This Row],[Arrival Time]]&lt;=TIME(7,0,0), "Night", IF(EHR_Export[[#This Row],[Arrival Time]]&lt;TIME(15,0,0), "Day", "Evening"))</f>
        <v>Evening</v>
      </c>
      <c r="P559" cm="1">
        <f t="array" ref="P5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60" spans="1:16" x14ac:dyDescent="0.25">
      <c r="A560" t="s">
        <v>1342</v>
      </c>
      <c r="B560" s="1">
        <v>46085</v>
      </c>
      <c r="C560" s="4">
        <v>0.54236111111111107</v>
      </c>
      <c r="D560" t="s">
        <v>28</v>
      </c>
      <c r="E560" t="s">
        <v>23</v>
      </c>
      <c r="F560" t="s">
        <v>521</v>
      </c>
      <c r="G560">
        <v>54</v>
      </c>
      <c r="H560" t="s">
        <v>847</v>
      </c>
      <c r="I560" t="s">
        <v>38</v>
      </c>
      <c r="J560">
        <v>58</v>
      </c>
      <c r="K560">
        <v>43</v>
      </c>
      <c r="L560">
        <v>3.2</v>
      </c>
      <c r="M560" t="s">
        <v>14</v>
      </c>
      <c r="N560" s="2">
        <v>797.81</v>
      </c>
      <c r="O560" s="2" t="str">
        <f>IF(EHR_Export[[#This Row],[Arrival Time]]&lt;=TIME(7,0,0), "Night", IF(EHR_Export[[#This Row],[Arrival Time]]&lt;TIME(15,0,0), "Day", "Evening"))</f>
        <v>Day</v>
      </c>
      <c r="P560" cm="1">
        <f t="array" ref="P5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61" spans="1:16" x14ac:dyDescent="0.25">
      <c r="A561" t="s">
        <v>1429</v>
      </c>
      <c r="B561" s="1">
        <v>46085</v>
      </c>
      <c r="C561" s="4">
        <v>0.6</v>
      </c>
      <c r="D561" t="s">
        <v>58</v>
      </c>
      <c r="E561" t="s">
        <v>842</v>
      </c>
      <c r="F561" t="s">
        <v>608</v>
      </c>
      <c r="G561">
        <v>37</v>
      </c>
      <c r="H561" t="s">
        <v>849</v>
      </c>
      <c r="I561" t="s">
        <v>34</v>
      </c>
      <c r="J561">
        <v>35</v>
      </c>
      <c r="K561">
        <v>107</v>
      </c>
      <c r="L561">
        <v>4.0999999999999996</v>
      </c>
      <c r="M561" t="s">
        <v>14</v>
      </c>
      <c r="N561" s="2">
        <v>1861.97</v>
      </c>
      <c r="O561" s="2" t="str">
        <f>IF(EHR_Export[[#This Row],[Arrival Time]]&lt;=TIME(7,0,0), "Night", IF(EHR_Export[[#This Row],[Arrival Time]]&lt;TIME(15,0,0), "Day", "Evening"))</f>
        <v>Day</v>
      </c>
      <c r="P561" cm="1">
        <f t="array" ref="P5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562" spans="1:16" x14ac:dyDescent="0.25">
      <c r="A562" t="s">
        <v>901</v>
      </c>
      <c r="B562" s="1">
        <v>46086</v>
      </c>
      <c r="C562" s="4">
        <v>0.46666666666666667</v>
      </c>
      <c r="D562" t="s">
        <v>28</v>
      </c>
      <c r="E562" t="s">
        <v>23</v>
      </c>
      <c r="F562" t="s">
        <v>79</v>
      </c>
      <c r="G562">
        <v>26</v>
      </c>
      <c r="H562" t="s">
        <v>849</v>
      </c>
      <c r="I562" t="s">
        <v>34</v>
      </c>
      <c r="J562">
        <v>61</v>
      </c>
      <c r="K562">
        <v>47</v>
      </c>
      <c r="L562">
        <v>3.4</v>
      </c>
      <c r="M562" t="s">
        <v>14</v>
      </c>
      <c r="N562" s="2">
        <v>956.21</v>
      </c>
      <c r="O562" s="2" t="str">
        <f>IF(EHR_Export[[#This Row],[Arrival Time]]&lt;=TIME(7,0,0), "Night", IF(EHR_Export[[#This Row],[Arrival Time]]&lt;TIME(15,0,0), "Day", "Evening"))</f>
        <v>Day</v>
      </c>
      <c r="P562" cm="1">
        <f t="array" ref="P5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563" spans="1:16" x14ac:dyDescent="0.25">
      <c r="A563" t="s">
        <v>1069</v>
      </c>
      <c r="B563" s="1">
        <v>46086</v>
      </c>
      <c r="C563" s="4">
        <v>0.93611111111111112</v>
      </c>
      <c r="D563" t="s">
        <v>28</v>
      </c>
      <c r="E563" t="s">
        <v>23</v>
      </c>
      <c r="F563" t="s">
        <v>248</v>
      </c>
      <c r="G563">
        <v>68</v>
      </c>
      <c r="H563" t="s">
        <v>849</v>
      </c>
      <c r="I563" t="s">
        <v>38</v>
      </c>
      <c r="J563">
        <v>80</v>
      </c>
      <c r="K563">
        <v>56</v>
      </c>
      <c r="L563">
        <v>3</v>
      </c>
      <c r="M563" t="s">
        <v>14</v>
      </c>
      <c r="N563" s="2">
        <v>933.86</v>
      </c>
      <c r="O563" s="2" t="str">
        <f>IF(EHR_Export[[#This Row],[Arrival Time]]&lt;=TIME(7,0,0), "Night", IF(EHR_Export[[#This Row],[Arrival Time]]&lt;TIME(15,0,0), "Day", "Evening"))</f>
        <v>Evening</v>
      </c>
      <c r="P563" cm="1">
        <f t="array" ref="P5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64" spans="1:16" x14ac:dyDescent="0.25">
      <c r="A564" t="s">
        <v>1165</v>
      </c>
      <c r="B564" s="1">
        <v>46086</v>
      </c>
      <c r="C564" s="4">
        <v>0.77847222222222223</v>
      </c>
      <c r="D564" t="s">
        <v>58</v>
      </c>
      <c r="E564" t="s">
        <v>842</v>
      </c>
      <c r="F564" t="s">
        <v>344</v>
      </c>
      <c r="G564">
        <v>67</v>
      </c>
      <c r="H564" t="s">
        <v>847</v>
      </c>
      <c r="I564" t="s">
        <v>25</v>
      </c>
      <c r="J564">
        <v>71</v>
      </c>
      <c r="K564">
        <v>94</v>
      </c>
      <c r="L564">
        <v>3.4</v>
      </c>
      <c r="M564" t="s">
        <v>14</v>
      </c>
      <c r="N564" s="2">
        <v>3007.27</v>
      </c>
      <c r="O564" s="2" t="str">
        <f>IF(EHR_Export[[#This Row],[Arrival Time]]&lt;=TIME(7,0,0), "Night", IF(EHR_Export[[#This Row],[Arrival Time]]&lt;TIME(15,0,0), "Day", "Evening"))</f>
        <v>Evening</v>
      </c>
      <c r="P564" cm="1">
        <f t="array" ref="P5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65" spans="1:16" x14ac:dyDescent="0.25">
      <c r="A565" t="s">
        <v>1256</v>
      </c>
      <c r="B565" s="1">
        <v>46086</v>
      </c>
      <c r="C565" s="4">
        <v>0.80902777777777779</v>
      </c>
      <c r="D565" t="s">
        <v>126</v>
      </c>
      <c r="E565" t="s">
        <v>46</v>
      </c>
      <c r="F565" t="s">
        <v>435</v>
      </c>
      <c r="G565">
        <v>42</v>
      </c>
      <c r="H565" t="s">
        <v>849</v>
      </c>
      <c r="I565" t="s">
        <v>34</v>
      </c>
      <c r="J565">
        <v>49</v>
      </c>
      <c r="K565">
        <v>38</v>
      </c>
      <c r="L565">
        <v>3.2</v>
      </c>
      <c r="M565" t="s">
        <v>14</v>
      </c>
      <c r="N565" s="2">
        <v>1317.24</v>
      </c>
      <c r="O565" s="2" t="str">
        <f>IF(EHR_Export[[#This Row],[Arrival Time]]&lt;=TIME(7,0,0), "Night", IF(EHR_Export[[#This Row],[Arrival Time]]&lt;TIME(15,0,0), "Day", "Evening"))</f>
        <v>Evening</v>
      </c>
      <c r="P565" cm="1">
        <f t="array" ref="P5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66" spans="1:16" x14ac:dyDescent="0.25">
      <c r="A566" t="s">
        <v>1262</v>
      </c>
      <c r="B566" s="1">
        <v>46086</v>
      </c>
      <c r="C566" s="4">
        <v>0.79027777777777775</v>
      </c>
      <c r="D566" t="s">
        <v>21</v>
      </c>
      <c r="E566" t="s">
        <v>53</v>
      </c>
      <c r="F566" t="s">
        <v>441</v>
      </c>
      <c r="G566">
        <v>58</v>
      </c>
      <c r="H566" t="s">
        <v>849</v>
      </c>
      <c r="I566" t="s">
        <v>34</v>
      </c>
      <c r="J566">
        <v>35</v>
      </c>
      <c r="K566">
        <v>16</v>
      </c>
      <c r="M566" t="s">
        <v>14</v>
      </c>
      <c r="N566" s="2">
        <v>842.29</v>
      </c>
      <c r="O566" s="2" t="str">
        <f>IF(EHR_Export[[#This Row],[Arrival Time]]&lt;=TIME(7,0,0), "Night", IF(EHR_Export[[#This Row],[Arrival Time]]&lt;TIME(15,0,0), "Day", "Evening"))</f>
        <v>Evening</v>
      </c>
      <c r="P566" cm="1">
        <f t="array" ref="P5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67" spans="1:16" x14ac:dyDescent="0.25">
      <c r="A567" t="s">
        <v>1265</v>
      </c>
      <c r="B567" s="1">
        <v>46086</v>
      </c>
      <c r="C567" s="4">
        <v>0.82708333333333328</v>
      </c>
      <c r="D567" t="s">
        <v>126</v>
      </c>
      <c r="E567" t="s">
        <v>46</v>
      </c>
      <c r="F567" t="s">
        <v>444</v>
      </c>
      <c r="G567">
        <v>46</v>
      </c>
      <c r="H567" t="s">
        <v>847</v>
      </c>
      <c r="I567" t="s">
        <v>25</v>
      </c>
      <c r="J567">
        <v>31</v>
      </c>
      <c r="K567">
        <v>41</v>
      </c>
      <c r="L567">
        <v>4</v>
      </c>
      <c r="M567" t="s">
        <v>18</v>
      </c>
      <c r="N567" s="2">
        <v>1612.72</v>
      </c>
      <c r="O567" s="2" t="str">
        <f>IF(EHR_Export[[#This Row],[Arrival Time]]&lt;=TIME(7,0,0), "Night", IF(EHR_Export[[#This Row],[Arrival Time]]&lt;TIME(15,0,0), "Day", "Evening"))</f>
        <v>Evening</v>
      </c>
      <c r="P567" cm="1">
        <f t="array" ref="P5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68" spans="1:16" x14ac:dyDescent="0.25">
      <c r="A568" t="s">
        <v>1281</v>
      </c>
      <c r="B568" s="1">
        <v>46086</v>
      </c>
      <c r="C568" s="4">
        <v>0.72777777777777775</v>
      </c>
      <c r="D568" t="s">
        <v>58</v>
      </c>
      <c r="E568" t="s">
        <v>842</v>
      </c>
      <c r="F568" t="s">
        <v>460</v>
      </c>
      <c r="G568">
        <v>32</v>
      </c>
      <c r="H568" t="s">
        <v>847</v>
      </c>
      <c r="I568" t="s">
        <v>34</v>
      </c>
      <c r="J568">
        <v>69</v>
      </c>
      <c r="K568">
        <v>79</v>
      </c>
      <c r="L568">
        <v>2.2999999999999998</v>
      </c>
      <c r="M568" t="s">
        <v>14</v>
      </c>
      <c r="N568" s="2">
        <v>2605.42</v>
      </c>
      <c r="O568" s="2" t="str">
        <f>IF(EHR_Export[[#This Row],[Arrival Time]]&lt;=TIME(7,0,0), "Night", IF(EHR_Export[[#This Row],[Arrival Time]]&lt;TIME(15,0,0), "Day", "Evening"))</f>
        <v>Evening</v>
      </c>
      <c r="P568" cm="1">
        <f t="array" ref="P5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69" spans="1:16" x14ac:dyDescent="0.25">
      <c r="A569" t="s">
        <v>1386</v>
      </c>
      <c r="B569" s="1">
        <v>46086</v>
      </c>
      <c r="C569" s="4">
        <v>0.66736111111111107</v>
      </c>
      <c r="D569" t="s">
        <v>28</v>
      </c>
      <c r="E569" t="s">
        <v>23</v>
      </c>
      <c r="F569" t="s">
        <v>565</v>
      </c>
      <c r="G569">
        <v>43</v>
      </c>
      <c r="H569" t="s">
        <v>849</v>
      </c>
      <c r="I569" t="s">
        <v>25</v>
      </c>
      <c r="J569">
        <v>50</v>
      </c>
      <c r="K569">
        <v>82</v>
      </c>
      <c r="L569">
        <v>4.5</v>
      </c>
      <c r="M569" t="s">
        <v>14</v>
      </c>
      <c r="N569" s="2">
        <v>1145.93</v>
      </c>
      <c r="O569" s="2" t="str">
        <f>IF(EHR_Export[[#This Row],[Arrival Time]]&lt;=TIME(7,0,0), "Night", IF(EHR_Export[[#This Row],[Arrival Time]]&lt;TIME(15,0,0), "Day", "Evening"))</f>
        <v>Evening</v>
      </c>
      <c r="P569" cm="1">
        <f t="array" ref="P5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70" spans="1:16" x14ac:dyDescent="0.25">
      <c r="A570" t="s">
        <v>1582</v>
      </c>
      <c r="B570" s="1">
        <v>46086</v>
      </c>
      <c r="C570" s="4">
        <v>0.69374999999999998</v>
      </c>
      <c r="D570" t="s">
        <v>126</v>
      </c>
      <c r="E570" t="s">
        <v>46</v>
      </c>
      <c r="F570" t="s">
        <v>761</v>
      </c>
      <c r="G570">
        <v>37</v>
      </c>
      <c r="H570" t="s">
        <v>847</v>
      </c>
      <c r="I570" t="s">
        <v>38</v>
      </c>
      <c r="J570">
        <v>46</v>
      </c>
      <c r="K570">
        <v>37</v>
      </c>
      <c r="L570">
        <v>4.2</v>
      </c>
      <c r="M570" t="s">
        <v>14</v>
      </c>
      <c r="N570" s="2">
        <v>1875.91</v>
      </c>
      <c r="O570" s="2" t="str">
        <f>IF(EHR_Export[[#This Row],[Arrival Time]]&lt;=TIME(7,0,0), "Night", IF(EHR_Export[[#This Row],[Arrival Time]]&lt;TIME(15,0,0), "Day", "Evening"))</f>
        <v>Evening</v>
      </c>
      <c r="P570" cm="1">
        <f t="array" ref="P5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71" spans="1:16" x14ac:dyDescent="0.25">
      <c r="A571" t="s">
        <v>1599</v>
      </c>
      <c r="B571" s="1">
        <v>46086</v>
      </c>
      <c r="C571" s="4">
        <v>0.63541666666666663</v>
      </c>
      <c r="D571" t="s">
        <v>28</v>
      </c>
      <c r="E571" t="s">
        <v>23</v>
      </c>
      <c r="F571" t="s">
        <v>778</v>
      </c>
      <c r="G571">
        <v>57</v>
      </c>
      <c r="H571" t="s">
        <v>847</v>
      </c>
      <c r="I571" t="s">
        <v>25</v>
      </c>
      <c r="J571">
        <v>33</v>
      </c>
      <c r="K571">
        <v>71</v>
      </c>
      <c r="L571">
        <v>3.9</v>
      </c>
      <c r="M571" t="s">
        <v>14</v>
      </c>
      <c r="N571" s="2">
        <v>822.02</v>
      </c>
      <c r="O571" s="2" t="str">
        <f>IF(EHR_Export[[#This Row],[Arrival Time]]&lt;=TIME(7,0,0), "Night", IF(EHR_Export[[#This Row],[Arrival Time]]&lt;TIME(15,0,0), "Day", "Evening"))</f>
        <v>Evening</v>
      </c>
      <c r="P571" cm="1">
        <f t="array" ref="P5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72" spans="1:16" x14ac:dyDescent="0.25">
      <c r="A572" t="s">
        <v>882</v>
      </c>
      <c r="B572" s="1">
        <v>46087</v>
      </c>
      <c r="C572" s="4">
        <v>0.7416666666666667</v>
      </c>
      <c r="D572" t="s">
        <v>28</v>
      </c>
      <c r="E572" t="s">
        <v>23</v>
      </c>
      <c r="F572" t="s">
        <v>60</v>
      </c>
      <c r="G572">
        <v>48</v>
      </c>
      <c r="H572" t="s">
        <v>847</v>
      </c>
      <c r="I572" t="s">
        <v>38</v>
      </c>
      <c r="J572">
        <v>60</v>
      </c>
      <c r="K572">
        <v>25</v>
      </c>
      <c r="L572">
        <v>3.3</v>
      </c>
      <c r="M572" t="s">
        <v>14</v>
      </c>
      <c r="N572" s="2">
        <v>915.07</v>
      </c>
      <c r="O572" s="2" t="str">
        <f>IF(EHR_Export[[#This Row],[Arrival Time]]&lt;=TIME(7,0,0), "Night", IF(EHR_Export[[#This Row],[Arrival Time]]&lt;TIME(15,0,0), "Day", "Evening"))</f>
        <v>Evening</v>
      </c>
      <c r="P572" cm="1">
        <f t="array" ref="P5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73" spans="1:16" x14ac:dyDescent="0.25">
      <c r="A573" t="s">
        <v>1018</v>
      </c>
      <c r="B573" s="1">
        <v>46087</v>
      </c>
      <c r="C573" s="4">
        <v>0.33402777777777776</v>
      </c>
      <c r="D573" t="s">
        <v>21</v>
      </c>
      <c r="E573" t="s">
        <v>53</v>
      </c>
      <c r="F573" t="s">
        <v>197</v>
      </c>
      <c r="G573">
        <v>66</v>
      </c>
      <c r="H573" t="s">
        <v>849</v>
      </c>
      <c r="I573" t="s">
        <v>38</v>
      </c>
      <c r="J573">
        <v>19</v>
      </c>
      <c r="K573">
        <v>37</v>
      </c>
      <c r="M573" t="s">
        <v>14</v>
      </c>
      <c r="N573" s="2">
        <v>697.63</v>
      </c>
      <c r="O573" s="2" t="str">
        <f>IF(EHR_Export[[#This Row],[Arrival Time]]&lt;=TIME(7,0,0), "Night", IF(EHR_Export[[#This Row],[Arrival Time]]&lt;TIME(15,0,0), "Day", "Evening"))</f>
        <v>Day</v>
      </c>
      <c r="P573" cm="1">
        <f t="array" ref="P5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574" spans="1:16" x14ac:dyDescent="0.25">
      <c r="A574" t="s">
        <v>1186</v>
      </c>
      <c r="B574" s="1">
        <v>46087</v>
      </c>
      <c r="C574" s="4">
        <v>0.73055555555555551</v>
      </c>
      <c r="D574" t="s">
        <v>28</v>
      </c>
      <c r="E574" t="s">
        <v>23</v>
      </c>
      <c r="F574" t="s">
        <v>365</v>
      </c>
      <c r="G574">
        <v>41</v>
      </c>
      <c r="H574" t="s">
        <v>849</v>
      </c>
      <c r="I574" t="s">
        <v>38</v>
      </c>
      <c r="J574">
        <v>76</v>
      </c>
      <c r="K574">
        <v>28</v>
      </c>
      <c r="M574" t="s">
        <v>14</v>
      </c>
      <c r="N574" s="2">
        <v>745.39</v>
      </c>
      <c r="O574" s="2" t="str">
        <f>IF(EHR_Export[[#This Row],[Arrival Time]]&lt;=TIME(7,0,0), "Night", IF(EHR_Export[[#This Row],[Arrival Time]]&lt;TIME(15,0,0), "Day", "Evening"))</f>
        <v>Evening</v>
      </c>
      <c r="P574" cm="1">
        <f t="array" ref="P5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75" spans="1:16" x14ac:dyDescent="0.25">
      <c r="A575" t="s">
        <v>1275</v>
      </c>
      <c r="B575" s="1">
        <v>46087</v>
      </c>
      <c r="C575" s="4">
        <v>0.50972222222222219</v>
      </c>
      <c r="D575" t="s">
        <v>28</v>
      </c>
      <c r="E575" t="s">
        <v>23</v>
      </c>
      <c r="F575" t="s">
        <v>454</v>
      </c>
      <c r="G575">
        <v>45</v>
      </c>
      <c r="H575" t="s">
        <v>849</v>
      </c>
      <c r="I575" t="s">
        <v>25</v>
      </c>
      <c r="J575">
        <v>29</v>
      </c>
      <c r="K575">
        <v>35</v>
      </c>
      <c r="L575">
        <v>3.9</v>
      </c>
      <c r="M575" t="s">
        <v>14</v>
      </c>
      <c r="N575" s="2">
        <v>1351.21</v>
      </c>
      <c r="O575" s="2" t="str">
        <f>IF(EHR_Export[[#This Row],[Arrival Time]]&lt;=TIME(7,0,0), "Night", IF(EHR_Export[[#This Row],[Arrival Time]]&lt;TIME(15,0,0), "Day", "Evening"))</f>
        <v>Day</v>
      </c>
      <c r="P575" cm="1">
        <f t="array" ref="P5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576" spans="1:16" x14ac:dyDescent="0.25">
      <c r="A576" t="s">
        <v>1360</v>
      </c>
      <c r="B576" s="1">
        <v>46087</v>
      </c>
      <c r="C576" s="4">
        <v>0.10486111111111111</v>
      </c>
      <c r="D576" t="s">
        <v>126</v>
      </c>
      <c r="E576" t="s">
        <v>46</v>
      </c>
      <c r="F576" t="s">
        <v>539</v>
      </c>
      <c r="G576">
        <v>26</v>
      </c>
      <c r="H576" t="s">
        <v>849</v>
      </c>
      <c r="I576" t="s">
        <v>34</v>
      </c>
      <c r="J576">
        <v>31</v>
      </c>
      <c r="K576">
        <v>53</v>
      </c>
      <c r="L576">
        <v>4.5</v>
      </c>
      <c r="N576" s="2">
        <v>2185.08</v>
      </c>
      <c r="O576" s="2" t="str">
        <f>IF(EHR_Export[[#This Row],[Arrival Time]]&lt;=TIME(7,0,0), "Night", IF(EHR_Export[[#This Row],[Arrival Time]]&lt;TIME(15,0,0), "Day", "Evening"))</f>
        <v>Night</v>
      </c>
      <c r="P576" cm="1">
        <f t="array" ref="P5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77" spans="1:16" x14ac:dyDescent="0.25">
      <c r="A577" t="s">
        <v>1363</v>
      </c>
      <c r="B577" s="1">
        <v>46087</v>
      </c>
      <c r="C577" s="4">
        <v>0.90486111111111112</v>
      </c>
      <c r="D577" t="s">
        <v>28</v>
      </c>
      <c r="E577" t="s">
        <v>23</v>
      </c>
      <c r="F577" t="s">
        <v>542</v>
      </c>
      <c r="G577">
        <v>17</v>
      </c>
      <c r="H577" t="s">
        <v>849</v>
      </c>
      <c r="I577" t="s">
        <v>34</v>
      </c>
      <c r="J577">
        <v>62</v>
      </c>
      <c r="K577">
        <v>47</v>
      </c>
      <c r="L577">
        <v>2.9</v>
      </c>
      <c r="M577" t="s">
        <v>14</v>
      </c>
      <c r="N577" s="2">
        <v>1198.6099999999999</v>
      </c>
      <c r="O577" s="2" t="str">
        <f>IF(EHR_Export[[#This Row],[Arrival Time]]&lt;=TIME(7,0,0), "Night", IF(EHR_Export[[#This Row],[Arrival Time]]&lt;TIME(15,0,0), "Day", "Evening"))</f>
        <v>Evening</v>
      </c>
      <c r="P577" cm="1">
        <f t="array" ref="P5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78" spans="1:16" x14ac:dyDescent="0.25">
      <c r="A578" t="s">
        <v>1408</v>
      </c>
      <c r="B578" s="1">
        <v>46087</v>
      </c>
      <c r="C578" s="4">
        <v>0.16319444444444445</v>
      </c>
      <c r="D578" t="s">
        <v>126</v>
      </c>
      <c r="E578" t="s">
        <v>46</v>
      </c>
      <c r="F578" t="s">
        <v>587</v>
      </c>
      <c r="G578">
        <v>37</v>
      </c>
      <c r="H578" t="s">
        <v>849</v>
      </c>
      <c r="I578" t="s">
        <v>38</v>
      </c>
      <c r="J578">
        <v>31</v>
      </c>
      <c r="K578">
        <v>23</v>
      </c>
      <c r="M578" t="s">
        <v>14</v>
      </c>
      <c r="N578" s="2">
        <v>2453.83</v>
      </c>
      <c r="O578" s="2" t="str">
        <f>IF(EHR_Export[[#This Row],[Arrival Time]]&lt;=TIME(7,0,0), "Night", IF(EHR_Export[[#This Row],[Arrival Time]]&lt;TIME(15,0,0), "Day", "Evening"))</f>
        <v>Night</v>
      </c>
      <c r="P578" cm="1">
        <f t="array" ref="P5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79" spans="1:16" x14ac:dyDescent="0.25">
      <c r="A579" t="s">
        <v>1530</v>
      </c>
      <c r="B579" s="1">
        <v>46087</v>
      </c>
      <c r="C579" s="4">
        <v>0.88124999999999998</v>
      </c>
      <c r="D579" t="s">
        <v>126</v>
      </c>
      <c r="E579" t="s">
        <v>46</v>
      </c>
      <c r="F579" t="s">
        <v>709</v>
      </c>
      <c r="G579">
        <v>78</v>
      </c>
      <c r="H579" t="s">
        <v>849</v>
      </c>
      <c r="I579" t="s">
        <v>34</v>
      </c>
      <c r="J579">
        <v>71</v>
      </c>
      <c r="K579">
        <v>73</v>
      </c>
      <c r="L579">
        <v>3</v>
      </c>
      <c r="M579" t="s">
        <v>14</v>
      </c>
      <c r="N579" s="2">
        <v>2154.4699999999998</v>
      </c>
      <c r="O579" s="2" t="str">
        <f>IF(EHR_Export[[#This Row],[Arrival Time]]&lt;=TIME(7,0,0), "Night", IF(EHR_Export[[#This Row],[Arrival Time]]&lt;TIME(15,0,0), "Day", "Evening"))</f>
        <v>Evening</v>
      </c>
      <c r="P579" cm="1">
        <f t="array" ref="P5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580" spans="1:16" x14ac:dyDescent="0.25">
      <c r="A580" t="s">
        <v>1583</v>
      </c>
      <c r="B580" s="1">
        <v>46087</v>
      </c>
      <c r="C580" s="4">
        <v>0.3659722222222222</v>
      </c>
      <c r="D580" t="s">
        <v>58</v>
      </c>
      <c r="E580" t="s">
        <v>842</v>
      </c>
      <c r="F580" t="s">
        <v>762</v>
      </c>
      <c r="G580">
        <v>33</v>
      </c>
      <c r="H580" t="s">
        <v>849</v>
      </c>
      <c r="I580" t="s">
        <v>38</v>
      </c>
      <c r="J580">
        <v>66</v>
      </c>
      <c r="K580">
        <v>64</v>
      </c>
      <c r="L580">
        <v>4.0999999999999996</v>
      </c>
      <c r="M580" t="s">
        <v>14</v>
      </c>
      <c r="N580" s="2">
        <v>2932.97</v>
      </c>
      <c r="O580" s="2" t="str">
        <f>IF(EHR_Export[[#This Row],[Arrival Time]]&lt;=TIME(7,0,0), "Night", IF(EHR_Export[[#This Row],[Arrival Time]]&lt;TIME(15,0,0), "Day", "Evening"))</f>
        <v>Day</v>
      </c>
      <c r="P580" cm="1">
        <f t="array" ref="P5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81" spans="1:16" x14ac:dyDescent="0.25">
      <c r="A581" t="s">
        <v>1594</v>
      </c>
      <c r="B581" s="1">
        <v>46087</v>
      </c>
      <c r="C581" s="4">
        <v>0.7368055555555556</v>
      </c>
      <c r="D581" t="s">
        <v>28</v>
      </c>
      <c r="E581" t="s">
        <v>23</v>
      </c>
      <c r="F581" t="s">
        <v>773</v>
      </c>
      <c r="G581">
        <v>29</v>
      </c>
      <c r="H581" t="s">
        <v>847</v>
      </c>
      <c r="I581" t="s">
        <v>25</v>
      </c>
      <c r="J581">
        <v>39</v>
      </c>
      <c r="K581">
        <v>77</v>
      </c>
      <c r="L581">
        <v>4.9000000000000004</v>
      </c>
      <c r="M581" t="s">
        <v>14</v>
      </c>
      <c r="N581" s="2">
        <v>999.85</v>
      </c>
      <c r="O581" s="2" t="str">
        <f>IF(EHR_Export[[#This Row],[Arrival Time]]&lt;=TIME(7,0,0), "Night", IF(EHR_Export[[#This Row],[Arrival Time]]&lt;TIME(15,0,0), "Day", "Evening"))</f>
        <v>Evening</v>
      </c>
      <c r="P581" cm="1">
        <f t="array" ref="P5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582" spans="1:16" x14ac:dyDescent="0.25">
      <c r="A582" t="s">
        <v>955</v>
      </c>
      <c r="B582" s="1">
        <v>46088</v>
      </c>
      <c r="C582" s="4">
        <v>0.83194444444444449</v>
      </c>
      <c r="D582" t="s">
        <v>21</v>
      </c>
      <c r="E582" t="s">
        <v>53</v>
      </c>
      <c r="F582" t="s">
        <v>134</v>
      </c>
      <c r="G582">
        <v>54</v>
      </c>
      <c r="H582" t="s">
        <v>849</v>
      </c>
      <c r="I582" t="s">
        <v>34</v>
      </c>
      <c r="J582">
        <v>45</v>
      </c>
      <c r="K582">
        <v>54</v>
      </c>
      <c r="M582" t="s">
        <v>14</v>
      </c>
      <c r="N582" s="2">
        <v>599.70000000000005</v>
      </c>
      <c r="O582" s="2" t="str">
        <f>IF(EHR_Export[[#This Row],[Arrival Time]]&lt;=TIME(7,0,0), "Night", IF(EHR_Export[[#This Row],[Arrival Time]]&lt;TIME(15,0,0), "Day", "Evening"))</f>
        <v>Evening</v>
      </c>
      <c r="P582" cm="1">
        <f t="array" ref="P5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83" spans="1:16" x14ac:dyDescent="0.25">
      <c r="A583" t="s">
        <v>1053</v>
      </c>
      <c r="B583" s="1">
        <v>46088</v>
      </c>
      <c r="C583" s="4">
        <v>0.82499999999999996</v>
      </c>
      <c r="D583" t="s">
        <v>21</v>
      </c>
      <c r="E583" t="s">
        <v>53</v>
      </c>
      <c r="F583" t="s">
        <v>232</v>
      </c>
      <c r="G583">
        <v>29</v>
      </c>
      <c r="H583" t="s">
        <v>847</v>
      </c>
      <c r="I583" t="s">
        <v>25</v>
      </c>
      <c r="J583">
        <v>32</v>
      </c>
      <c r="K583">
        <v>51</v>
      </c>
      <c r="L583">
        <v>4.4000000000000004</v>
      </c>
      <c r="M583" t="s">
        <v>14</v>
      </c>
      <c r="N583" s="2">
        <v>540.62</v>
      </c>
      <c r="O583" s="2" t="str">
        <f>IF(EHR_Export[[#This Row],[Arrival Time]]&lt;=TIME(7,0,0), "Night", IF(EHR_Export[[#This Row],[Arrival Time]]&lt;TIME(15,0,0), "Day", "Evening"))</f>
        <v>Evening</v>
      </c>
      <c r="P583" cm="1">
        <f t="array" ref="P5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84" spans="1:16" x14ac:dyDescent="0.25">
      <c r="A584" t="s">
        <v>1060</v>
      </c>
      <c r="B584" s="1">
        <v>46088</v>
      </c>
      <c r="C584" s="4">
        <v>0.5395833333333333</v>
      </c>
      <c r="D584" t="s">
        <v>48</v>
      </c>
      <c r="E584" t="s">
        <v>42</v>
      </c>
      <c r="F584" t="s">
        <v>239</v>
      </c>
      <c r="G584">
        <v>2</v>
      </c>
      <c r="H584" t="s">
        <v>849</v>
      </c>
      <c r="I584" t="s">
        <v>34</v>
      </c>
      <c r="J584">
        <v>52</v>
      </c>
      <c r="K584">
        <v>57</v>
      </c>
      <c r="L584">
        <v>3.4</v>
      </c>
      <c r="M584" t="s">
        <v>14</v>
      </c>
      <c r="N584" s="2">
        <v>1439.93</v>
      </c>
      <c r="O584" s="2" t="str">
        <f>IF(EHR_Export[[#This Row],[Arrival Time]]&lt;=TIME(7,0,0), "Night", IF(EHR_Export[[#This Row],[Arrival Time]]&lt;TIME(15,0,0), "Day", "Evening"))</f>
        <v>Day</v>
      </c>
      <c r="P584" cm="1">
        <f t="array" ref="P5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85" spans="1:16" x14ac:dyDescent="0.25">
      <c r="A585" t="s">
        <v>1123</v>
      </c>
      <c r="B585" s="1">
        <v>46088</v>
      </c>
      <c r="C585" s="4">
        <v>0.7583333333333333</v>
      </c>
      <c r="D585" t="s">
        <v>21</v>
      </c>
      <c r="E585" t="s">
        <v>53</v>
      </c>
      <c r="F585" t="s">
        <v>302</v>
      </c>
      <c r="G585">
        <v>31</v>
      </c>
      <c r="H585" t="s">
        <v>849</v>
      </c>
      <c r="I585" t="s">
        <v>34</v>
      </c>
      <c r="J585">
        <v>62</v>
      </c>
      <c r="K585">
        <v>10</v>
      </c>
      <c r="L585">
        <v>3.6</v>
      </c>
      <c r="M585" t="s">
        <v>14</v>
      </c>
      <c r="N585" s="2">
        <v>714.28</v>
      </c>
      <c r="O585" s="2" t="str">
        <f>IF(EHR_Export[[#This Row],[Arrival Time]]&lt;=TIME(7,0,0), "Night", IF(EHR_Export[[#This Row],[Arrival Time]]&lt;TIME(15,0,0), "Day", "Evening"))</f>
        <v>Evening</v>
      </c>
      <c r="P585" cm="1">
        <f t="array" ref="P5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86" spans="1:16" x14ac:dyDescent="0.25">
      <c r="A586" t="s">
        <v>1197</v>
      </c>
      <c r="B586" s="1">
        <v>46088</v>
      </c>
      <c r="C586" s="4">
        <v>0.6</v>
      </c>
      <c r="D586" t="s">
        <v>28</v>
      </c>
      <c r="E586" t="s">
        <v>23</v>
      </c>
      <c r="F586" t="s">
        <v>376</v>
      </c>
      <c r="G586">
        <v>13</v>
      </c>
      <c r="H586" t="s">
        <v>849</v>
      </c>
      <c r="I586" t="s">
        <v>13</v>
      </c>
      <c r="J586">
        <v>52</v>
      </c>
      <c r="K586">
        <v>53</v>
      </c>
      <c r="L586">
        <v>3.4</v>
      </c>
      <c r="M586" t="s">
        <v>14</v>
      </c>
      <c r="N586" s="2">
        <v>958.24</v>
      </c>
      <c r="O586" s="2" t="str">
        <f>IF(EHR_Export[[#This Row],[Arrival Time]]&lt;=TIME(7,0,0), "Night", IF(EHR_Export[[#This Row],[Arrival Time]]&lt;TIME(15,0,0), "Day", "Evening"))</f>
        <v>Day</v>
      </c>
      <c r="P586" cm="1">
        <f t="array" ref="P5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87" spans="1:16" x14ac:dyDescent="0.25">
      <c r="A587" t="s">
        <v>1201</v>
      </c>
      <c r="B587" s="1">
        <v>46088</v>
      </c>
      <c r="C587" s="4">
        <v>0.86388888888888893</v>
      </c>
      <c r="D587" t="s">
        <v>28</v>
      </c>
      <c r="E587" t="s">
        <v>23</v>
      </c>
      <c r="F587" t="s">
        <v>380</v>
      </c>
      <c r="G587">
        <v>35</v>
      </c>
      <c r="H587" t="s">
        <v>849</v>
      </c>
      <c r="I587" t="s">
        <v>25</v>
      </c>
      <c r="J587">
        <v>97</v>
      </c>
      <c r="K587">
        <v>51</v>
      </c>
      <c r="L587">
        <v>3.8</v>
      </c>
      <c r="M587" t="s">
        <v>14</v>
      </c>
      <c r="O587" s="2" t="str">
        <f>IF(EHR_Export[[#This Row],[Arrival Time]]&lt;=TIME(7,0,0), "Night", IF(EHR_Export[[#This Row],[Arrival Time]]&lt;TIME(15,0,0), "Day", "Evening"))</f>
        <v>Evening</v>
      </c>
      <c r="P587" cm="1">
        <f t="array" ref="P5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588" spans="1:16" x14ac:dyDescent="0.25">
      <c r="A588" t="s">
        <v>1259</v>
      </c>
      <c r="B588" s="1">
        <v>46088</v>
      </c>
      <c r="C588" s="4">
        <v>0.5444444444444444</v>
      </c>
      <c r="D588" t="s">
        <v>28</v>
      </c>
      <c r="E588" t="s">
        <v>23</v>
      </c>
      <c r="F588" t="s">
        <v>438</v>
      </c>
      <c r="G588">
        <v>60</v>
      </c>
      <c r="H588" t="s">
        <v>847</v>
      </c>
      <c r="I588" t="s">
        <v>34</v>
      </c>
      <c r="J588">
        <v>96</v>
      </c>
      <c r="K588">
        <v>21</v>
      </c>
      <c r="L588">
        <v>3.2</v>
      </c>
      <c r="M588" t="s">
        <v>14</v>
      </c>
      <c r="N588" s="2">
        <v>959.99</v>
      </c>
      <c r="O588" s="2" t="str">
        <f>IF(EHR_Export[[#This Row],[Arrival Time]]&lt;=TIME(7,0,0), "Night", IF(EHR_Export[[#This Row],[Arrival Time]]&lt;TIME(15,0,0), "Day", "Evening"))</f>
        <v>Day</v>
      </c>
      <c r="P588" cm="1">
        <f t="array" ref="P5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89" spans="1:16" x14ac:dyDescent="0.25">
      <c r="A589" t="s">
        <v>1287</v>
      </c>
      <c r="B589" s="1">
        <v>46088</v>
      </c>
      <c r="C589" s="4">
        <v>0.67500000000000004</v>
      </c>
      <c r="D589" t="s">
        <v>58</v>
      </c>
      <c r="E589" t="s">
        <v>842</v>
      </c>
      <c r="F589" t="s">
        <v>466</v>
      </c>
      <c r="G589">
        <v>80</v>
      </c>
      <c r="H589" t="s">
        <v>849</v>
      </c>
      <c r="I589" t="s">
        <v>13</v>
      </c>
      <c r="J589">
        <v>95</v>
      </c>
      <c r="K589">
        <v>94</v>
      </c>
      <c r="L589">
        <v>3.6</v>
      </c>
      <c r="M589" t="s">
        <v>14</v>
      </c>
      <c r="N589" s="2">
        <v>2317.13</v>
      </c>
      <c r="O589" s="2" t="str">
        <f>IF(EHR_Export[[#This Row],[Arrival Time]]&lt;=TIME(7,0,0), "Night", IF(EHR_Export[[#This Row],[Arrival Time]]&lt;TIME(15,0,0), "Day", "Evening"))</f>
        <v>Evening</v>
      </c>
      <c r="P589" cm="1">
        <f t="array" ref="P5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90" spans="1:16" x14ac:dyDescent="0.25">
      <c r="A590" t="s">
        <v>1334</v>
      </c>
      <c r="B590" s="1">
        <v>46088</v>
      </c>
      <c r="C590" s="4">
        <v>0.34305555555555556</v>
      </c>
      <c r="D590" t="s">
        <v>48</v>
      </c>
      <c r="E590" t="s">
        <v>42</v>
      </c>
      <c r="F590" t="s">
        <v>513</v>
      </c>
      <c r="G590">
        <v>43</v>
      </c>
      <c r="H590" t="s">
        <v>849</v>
      </c>
      <c r="I590" t="s">
        <v>25</v>
      </c>
      <c r="J590">
        <v>59</v>
      </c>
      <c r="K590">
        <v>32</v>
      </c>
      <c r="M590" t="s">
        <v>14</v>
      </c>
      <c r="N590" s="2">
        <v>1890.53</v>
      </c>
      <c r="O590" s="2" t="str">
        <f>IF(EHR_Export[[#This Row],[Arrival Time]]&lt;=TIME(7,0,0), "Night", IF(EHR_Export[[#This Row],[Arrival Time]]&lt;TIME(15,0,0), "Day", "Evening"))</f>
        <v>Day</v>
      </c>
      <c r="P590" cm="1">
        <f t="array" ref="P5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91" spans="1:16" x14ac:dyDescent="0.25">
      <c r="A591" t="s">
        <v>1560</v>
      </c>
      <c r="B591" s="1">
        <v>46088</v>
      </c>
      <c r="C591" s="4">
        <v>0.7</v>
      </c>
      <c r="D591" t="s">
        <v>48</v>
      </c>
      <c r="E591" t="s">
        <v>42</v>
      </c>
      <c r="F591" t="s">
        <v>739</v>
      </c>
      <c r="G591">
        <v>46</v>
      </c>
      <c r="H591" t="s">
        <v>847</v>
      </c>
      <c r="I591" t="s">
        <v>13</v>
      </c>
      <c r="J591">
        <v>81</v>
      </c>
      <c r="K591">
        <v>22</v>
      </c>
      <c r="L591">
        <v>3.2</v>
      </c>
      <c r="N591" s="2">
        <v>1071.58</v>
      </c>
      <c r="O591" s="2" t="str">
        <f>IF(EHR_Export[[#This Row],[Arrival Time]]&lt;=TIME(7,0,0), "Night", IF(EHR_Export[[#This Row],[Arrival Time]]&lt;TIME(15,0,0), "Day", "Evening"))</f>
        <v>Evening</v>
      </c>
      <c r="P591" cm="1">
        <f t="array" ref="P5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592" spans="1:16" x14ac:dyDescent="0.25">
      <c r="A592" t="s">
        <v>951</v>
      </c>
      <c r="B592" s="1">
        <v>46089</v>
      </c>
      <c r="C592" s="4">
        <v>0.90694444444444444</v>
      </c>
      <c r="D592" t="s">
        <v>126</v>
      </c>
      <c r="E592" t="s">
        <v>46</v>
      </c>
      <c r="F592" t="s">
        <v>130</v>
      </c>
      <c r="G592">
        <v>94</v>
      </c>
      <c r="H592" t="s">
        <v>847</v>
      </c>
      <c r="I592" t="s">
        <v>13</v>
      </c>
      <c r="J592">
        <v>45</v>
      </c>
      <c r="K592">
        <v>23</v>
      </c>
      <c r="L592">
        <v>3.1</v>
      </c>
      <c r="M592" t="s">
        <v>14</v>
      </c>
      <c r="N592" s="2">
        <v>1864.81</v>
      </c>
      <c r="O592" s="2" t="str">
        <f>IF(EHR_Export[[#This Row],[Arrival Time]]&lt;=TIME(7,0,0), "Night", IF(EHR_Export[[#This Row],[Arrival Time]]&lt;TIME(15,0,0), "Day", "Evening"))</f>
        <v>Evening</v>
      </c>
      <c r="P592" cm="1">
        <f t="array" ref="P5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593" spans="1:16" x14ac:dyDescent="0.25">
      <c r="A593" t="s">
        <v>1010</v>
      </c>
      <c r="B593" s="1">
        <v>46089</v>
      </c>
      <c r="C593" s="4">
        <v>0.83333333333333337</v>
      </c>
      <c r="D593" t="s">
        <v>28</v>
      </c>
      <c r="E593" t="s">
        <v>23</v>
      </c>
      <c r="F593" t="s">
        <v>189</v>
      </c>
      <c r="G593">
        <v>33</v>
      </c>
      <c r="H593" t="s">
        <v>847</v>
      </c>
      <c r="I593" t="s">
        <v>25</v>
      </c>
      <c r="J593">
        <v>51</v>
      </c>
      <c r="K593">
        <v>63</v>
      </c>
      <c r="M593" t="s">
        <v>14</v>
      </c>
      <c r="N593" s="2">
        <v>675.2</v>
      </c>
      <c r="O593" s="2" t="str">
        <f>IF(EHR_Export[[#This Row],[Arrival Time]]&lt;=TIME(7,0,0), "Night", IF(EHR_Export[[#This Row],[Arrival Time]]&lt;TIME(15,0,0), "Day", "Evening"))</f>
        <v>Evening</v>
      </c>
      <c r="P593" cm="1">
        <f t="array" ref="P5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94" spans="1:16" x14ac:dyDescent="0.25">
      <c r="A594" t="s">
        <v>1035</v>
      </c>
      <c r="B594" s="1">
        <v>46089</v>
      </c>
      <c r="C594" s="4">
        <v>0.6118055555555556</v>
      </c>
      <c r="D594" t="s">
        <v>58</v>
      </c>
      <c r="E594" t="s">
        <v>842</v>
      </c>
      <c r="F594" t="s">
        <v>214</v>
      </c>
      <c r="G594">
        <v>76</v>
      </c>
      <c r="H594" t="s">
        <v>847</v>
      </c>
      <c r="I594" t="s">
        <v>34</v>
      </c>
      <c r="J594">
        <v>55</v>
      </c>
      <c r="K594">
        <v>121</v>
      </c>
      <c r="L594">
        <v>3</v>
      </c>
      <c r="M594" t="s">
        <v>14</v>
      </c>
      <c r="N594" s="2">
        <v>2481.9699999999998</v>
      </c>
      <c r="O594" s="2" t="str">
        <f>IF(EHR_Export[[#This Row],[Arrival Time]]&lt;=TIME(7,0,0), "Night", IF(EHR_Export[[#This Row],[Arrival Time]]&lt;TIME(15,0,0), "Day", "Evening"))</f>
        <v>Day</v>
      </c>
      <c r="P594" cm="1">
        <f t="array" ref="P5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595" spans="1:16" x14ac:dyDescent="0.25">
      <c r="A595" t="s">
        <v>1107</v>
      </c>
      <c r="B595" s="1">
        <v>46089</v>
      </c>
      <c r="C595" s="4">
        <v>0.67986111111111114</v>
      </c>
      <c r="D595" t="s">
        <v>28</v>
      </c>
      <c r="E595" t="s">
        <v>23</v>
      </c>
      <c r="F595" t="s">
        <v>286</v>
      </c>
      <c r="G595">
        <v>38</v>
      </c>
      <c r="H595" t="s">
        <v>847</v>
      </c>
      <c r="I595" t="s">
        <v>38</v>
      </c>
      <c r="J595">
        <v>65</v>
      </c>
      <c r="K595">
        <v>55</v>
      </c>
      <c r="L595">
        <v>3.4</v>
      </c>
      <c r="M595" t="s">
        <v>14</v>
      </c>
      <c r="N595" s="2">
        <v>1008.37</v>
      </c>
      <c r="O595" s="2" t="str">
        <f>IF(EHR_Export[[#This Row],[Arrival Time]]&lt;=TIME(7,0,0), "Night", IF(EHR_Export[[#This Row],[Arrival Time]]&lt;TIME(15,0,0), "Day", "Evening"))</f>
        <v>Evening</v>
      </c>
      <c r="P595" cm="1">
        <f t="array" ref="P5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596" spans="1:16" x14ac:dyDescent="0.25">
      <c r="A596" t="s">
        <v>1136</v>
      </c>
      <c r="B596" s="1">
        <v>46089</v>
      </c>
      <c r="C596" s="4">
        <v>0.21041666666666667</v>
      </c>
      <c r="D596" t="s">
        <v>48</v>
      </c>
      <c r="E596" t="s">
        <v>42</v>
      </c>
      <c r="F596" t="s">
        <v>315</v>
      </c>
      <c r="G596">
        <v>81</v>
      </c>
      <c r="H596" t="s">
        <v>847</v>
      </c>
      <c r="I596" t="s">
        <v>25</v>
      </c>
      <c r="J596">
        <v>58</v>
      </c>
      <c r="K596">
        <v>10</v>
      </c>
      <c r="L596">
        <v>2.4</v>
      </c>
      <c r="M596" t="s">
        <v>14</v>
      </c>
      <c r="N596" s="2">
        <v>1346.41</v>
      </c>
      <c r="O596" s="2" t="str">
        <f>IF(EHR_Export[[#This Row],[Arrival Time]]&lt;=TIME(7,0,0), "Night", IF(EHR_Export[[#This Row],[Arrival Time]]&lt;TIME(15,0,0), "Day", "Evening"))</f>
        <v>Night</v>
      </c>
      <c r="P596" cm="1">
        <f t="array" ref="P5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597" spans="1:16" x14ac:dyDescent="0.25">
      <c r="A597" t="s">
        <v>1163</v>
      </c>
      <c r="B597" s="1">
        <v>46089</v>
      </c>
      <c r="C597" s="4">
        <v>0.74583333333333335</v>
      </c>
      <c r="D597" t="s">
        <v>21</v>
      </c>
      <c r="E597" t="s">
        <v>53</v>
      </c>
      <c r="F597" t="s">
        <v>342</v>
      </c>
      <c r="G597">
        <v>32</v>
      </c>
      <c r="H597" t="s">
        <v>847</v>
      </c>
      <c r="I597" t="s">
        <v>38</v>
      </c>
      <c r="J597">
        <v>62</v>
      </c>
      <c r="K597">
        <v>74</v>
      </c>
      <c r="L597">
        <v>3.6</v>
      </c>
      <c r="M597" t="s">
        <v>14</v>
      </c>
      <c r="N597" s="2">
        <v>748.49</v>
      </c>
      <c r="O597" s="2" t="str">
        <f>IF(EHR_Export[[#This Row],[Arrival Time]]&lt;=TIME(7,0,0), "Night", IF(EHR_Export[[#This Row],[Arrival Time]]&lt;TIME(15,0,0), "Day", "Evening"))</f>
        <v>Evening</v>
      </c>
      <c r="P597" cm="1">
        <f t="array" ref="P5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98" spans="1:16" x14ac:dyDescent="0.25">
      <c r="A598" t="s">
        <v>1218</v>
      </c>
      <c r="B598" s="1">
        <v>46089</v>
      </c>
      <c r="C598" s="4">
        <v>0.7631944444444444</v>
      </c>
      <c r="D598" t="s">
        <v>48</v>
      </c>
      <c r="E598" t="s">
        <v>42</v>
      </c>
      <c r="F598" t="s">
        <v>397</v>
      </c>
      <c r="G598">
        <v>29</v>
      </c>
      <c r="H598" t="s">
        <v>847</v>
      </c>
      <c r="I598" t="s">
        <v>38</v>
      </c>
      <c r="J598">
        <v>88</v>
      </c>
      <c r="K598">
        <v>60</v>
      </c>
      <c r="L598">
        <v>2.2999999999999998</v>
      </c>
      <c r="M598" t="s">
        <v>18</v>
      </c>
      <c r="N598" s="2">
        <v>1791.34</v>
      </c>
      <c r="O598" s="2" t="str">
        <f>IF(EHR_Export[[#This Row],[Arrival Time]]&lt;=TIME(7,0,0), "Night", IF(EHR_Export[[#This Row],[Arrival Time]]&lt;TIME(15,0,0), "Day", "Evening"))</f>
        <v>Evening</v>
      </c>
      <c r="P598" cm="1">
        <f t="array" ref="P5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599" spans="1:16" x14ac:dyDescent="0.25">
      <c r="A599" t="s">
        <v>1264</v>
      </c>
      <c r="B599" s="1">
        <v>46089</v>
      </c>
      <c r="C599" s="4">
        <v>0.99375000000000002</v>
      </c>
      <c r="D599" t="s">
        <v>21</v>
      </c>
      <c r="E599" t="s">
        <v>53</v>
      </c>
      <c r="F599" t="s">
        <v>443</v>
      </c>
      <c r="G599">
        <v>16</v>
      </c>
      <c r="H599" t="s">
        <v>849</v>
      </c>
      <c r="I599" t="s">
        <v>25</v>
      </c>
      <c r="J599">
        <v>5</v>
      </c>
      <c r="K599">
        <v>34</v>
      </c>
      <c r="L599">
        <v>3.2</v>
      </c>
      <c r="M599" t="s">
        <v>14</v>
      </c>
      <c r="N599" s="2">
        <v>422.25</v>
      </c>
      <c r="O599" s="2" t="str">
        <f>IF(EHR_Export[[#This Row],[Arrival Time]]&lt;=TIME(7,0,0), "Night", IF(EHR_Export[[#This Row],[Arrival Time]]&lt;TIME(15,0,0), "Day", "Evening"))</f>
        <v>Evening</v>
      </c>
      <c r="P599" cm="1">
        <f t="array" ref="P5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00" spans="1:16" x14ac:dyDescent="0.25">
      <c r="A600" t="s">
        <v>1404</v>
      </c>
      <c r="B600" s="1">
        <v>46089</v>
      </c>
      <c r="C600" s="4">
        <v>0.71388888888888891</v>
      </c>
      <c r="D600" t="s">
        <v>126</v>
      </c>
      <c r="E600" t="s">
        <v>46</v>
      </c>
      <c r="F600" t="s">
        <v>583</v>
      </c>
      <c r="G600">
        <v>53</v>
      </c>
      <c r="H600" t="s">
        <v>847</v>
      </c>
      <c r="I600" t="s">
        <v>13</v>
      </c>
      <c r="J600">
        <v>55</v>
      </c>
      <c r="K600">
        <v>53</v>
      </c>
      <c r="L600">
        <v>3.6</v>
      </c>
      <c r="M600" t="s">
        <v>14</v>
      </c>
      <c r="N600" s="2">
        <v>1970.03</v>
      </c>
      <c r="O600" s="2" t="str">
        <f>IF(EHR_Export[[#This Row],[Arrival Time]]&lt;=TIME(7,0,0), "Night", IF(EHR_Export[[#This Row],[Arrival Time]]&lt;TIME(15,0,0), "Day", "Evening"))</f>
        <v>Evening</v>
      </c>
      <c r="P600" cm="1">
        <f t="array" ref="P6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01" spans="1:16" x14ac:dyDescent="0.25">
      <c r="A601" t="s">
        <v>1471</v>
      </c>
      <c r="B601" s="1">
        <v>46089</v>
      </c>
      <c r="C601" s="4">
        <v>0.9375</v>
      </c>
      <c r="D601" t="s">
        <v>28</v>
      </c>
      <c r="E601" t="s">
        <v>23</v>
      </c>
      <c r="F601" t="s">
        <v>650</v>
      </c>
      <c r="G601">
        <v>87</v>
      </c>
      <c r="H601" t="s">
        <v>847</v>
      </c>
      <c r="I601" t="s">
        <v>38</v>
      </c>
      <c r="J601">
        <v>68</v>
      </c>
      <c r="K601">
        <v>80</v>
      </c>
      <c r="L601">
        <v>3.1</v>
      </c>
      <c r="M601" t="s">
        <v>14</v>
      </c>
      <c r="N601" s="2">
        <v>651.28</v>
      </c>
      <c r="O601" s="2" t="str">
        <f>IF(EHR_Export[[#This Row],[Arrival Time]]&lt;=TIME(7,0,0), "Night", IF(EHR_Export[[#This Row],[Arrival Time]]&lt;TIME(15,0,0), "Day", "Evening"))</f>
        <v>Evening</v>
      </c>
      <c r="P601" cm="1">
        <f t="array" ref="P6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602" spans="1:16" x14ac:dyDescent="0.25">
      <c r="A602" t="s">
        <v>1523</v>
      </c>
      <c r="B602" s="1">
        <v>46089</v>
      </c>
      <c r="C602" s="4">
        <v>0.78194444444444444</v>
      </c>
      <c r="D602" t="s">
        <v>48</v>
      </c>
      <c r="E602" t="s">
        <v>42</v>
      </c>
      <c r="F602" t="s">
        <v>702</v>
      </c>
      <c r="G602">
        <v>11</v>
      </c>
      <c r="H602" t="s">
        <v>847</v>
      </c>
      <c r="I602" t="s">
        <v>13</v>
      </c>
      <c r="J602">
        <v>86</v>
      </c>
      <c r="K602">
        <v>55</v>
      </c>
      <c r="L602">
        <v>2.9</v>
      </c>
      <c r="M602" t="s">
        <v>14</v>
      </c>
      <c r="N602" s="2">
        <v>1431.32</v>
      </c>
      <c r="O602" s="2" t="str">
        <f>IF(EHR_Export[[#This Row],[Arrival Time]]&lt;=TIME(7,0,0), "Night", IF(EHR_Export[[#This Row],[Arrival Time]]&lt;TIME(15,0,0), "Day", "Evening"))</f>
        <v>Evening</v>
      </c>
      <c r="P602" cm="1">
        <f t="array" ref="P6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03" spans="1:16" x14ac:dyDescent="0.25">
      <c r="A603" t="s">
        <v>1534</v>
      </c>
      <c r="B603" s="1">
        <v>46089</v>
      </c>
      <c r="C603" s="4">
        <v>0.75416666666666665</v>
      </c>
      <c r="D603" t="s">
        <v>21</v>
      </c>
      <c r="E603" t="s">
        <v>53</v>
      </c>
      <c r="F603" t="s">
        <v>713</v>
      </c>
      <c r="G603">
        <v>88</v>
      </c>
      <c r="H603" t="s">
        <v>849</v>
      </c>
      <c r="I603" t="s">
        <v>25</v>
      </c>
      <c r="J603">
        <v>67</v>
      </c>
      <c r="K603">
        <v>57</v>
      </c>
      <c r="L603">
        <v>3.2</v>
      </c>
      <c r="M603" t="s">
        <v>14</v>
      </c>
      <c r="N603" s="2">
        <v>887.08</v>
      </c>
      <c r="O603" s="2" t="str">
        <f>IF(EHR_Export[[#This Row],[Arrival Time]]&lt;=TIME(7,0,0), "Night", IF(EHR_Export[[#This Row],[Arrival Time]]&lt;TIME(15,0,0), "Day", "Evening"))</f>
        <v>Evening</v>
      </c>
      <c r="P603" cm="1">
        <f t="array" ref="P6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04" spans="1:16" x14ac:dyDescent="0.25">
      <c r="A604" t="s">
        <v>1544</v>
      </c>
      <c r="B604" s="1">
        <v>46089</v>
      </c>
      <c r="C604" s="4">
        <v>0.67638888888888893</v>
      </c>
      <c r="D604" t="s">
        <v>58</v>
      </c>
      <c r="E604" t="s">
        <v>842</v>
      </c>
      <c r="F604" t="s">
        <v>723</v>
      </c>
      <c r="G604">
        <v>40</v>
      </c>
      <c r="H604" t="s">
        <v>849</v>
      </c>
      <c r="I604" t="s">
        <v>25</v>
      </c>
      <c r="J604">
        <v>87</v>
      </c>
      <c r="K604">
        <v>81</v>
      </c>
      <c r="L604">
        <v>2.4</v>
      </c>
      <c r="M604" t="s">
        <v>14</v>
      </c>
      <c r="N604" s="2">
        <v>2398.6</v>
      </c>
      <c r="O604" s="2" t="str">
        <f>IF(EHR_Export[[#This Row],[Arrival Time]]&lt;=TIME(7,0,0), "Night", IF(EHR_Export[[#This Row],[Arrival Time]]&lt;TIME(15,0,0), "Day", "Evening"))</f>
        <v>Evening</v>
      </c>
      <c r="P604" cm="1">
        <f t="array" ref="P6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05" spans="1:16" x14ac:dyDescent="0.25">
      <c r="A605" t="s">
        <v>966</v>
      </c>
      <c r="B605" s="1">
        <v>46090</v>
      </c>
      <c r="C605" s="4">
        <v>0.18541666666666667</v>
      </c>
      <c r="D605" t="s">
        <v>28</v>
      </c>
      <c r="E605" t="s">
        <v>23</v>
      </c>
      <c r="F605" t="s">
        <v>145</v>
      </c>
      <c r="G605">
        <v>71</v>
      </c>
      <c r="H605" t="s">
        <v>847</v>
      </c>
      <c r="I605" t="s">
        <v>25</v>
      </c>
      <c r="J605">
        <v>39</v>
      </c>
      <c r="K605">
        <v>26</v>
      </c>
      <c r="L605">
        <v>3.6</v>
      </c>
      <c r="M605" t="s">
        <v>14</v>
      </c>
      <c r="N605" s="2">
        <v>572.16999999999996</v>
      </c>
      <c r="O605" s="2" t="str">
        <f>IF(EHR_Export[[#This Row],[Arrival Time]]&lt;=TIME(7,0,0), "Night", IF(EHR_Export[[#This Row],[Arrival Time]]&lt;TIME(15,0,0), "Day", "Evening"))</f>
        <v>Night</v>
      </c>
      <c r="P605" cm="1">
        <f t="array" ref="P6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06" spans="1:16" x14ac:dyDescent="0.25">
      <c r="A606" t="s">
        <v>1055</v>
      </c>
      <c r="B606" s="1">
        <v>46090</v>
      </c>
      <c r="C606" s="4">
        <v>0.46250000000000002</v>
      </c>
      <c r="D606" t="s">
        <v>21</v>
      </c>
      <c r="E606" t="s">
        <v>53</v>
      </c>
      <c r="F606" t="s">
        <v>234</v>
      </c>
      <c r="G606">
        <v>36</v>
      </c>
      <c r="H606" t="s">
        <v>847</v>
      </c>
      <c r="I606" t="s">
        <v>38</v>
      </c>
      <c r="J606">
        <v>57</v>
      </c>
      <c r="K606">
        <v>56</v>
      </c>
      <c r="L606">
        <v>3.9</v>
      </c>
      <c r="M606" t="s">
        <v>14</v>
      </c>
      <c r="N606" s="2">
        <v>613.14</v>
      </c>
      <c r="O606" s="2" t="str">
        <f>IF(EHR_Export[[#This Row],[Arrival Time]]&lt;=TIME(7,0,0), "Night", IF(EHR_Export[[#This Row],[Arrival Time]]&lt;TIME(15,0,0), "Day", "Evening"))</f>
        <v>Day</v>
      </c>
      <c r="P606" cm="1">
        <f t="array" ref="P6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07" spans="1:16" x14ac:dyDescent="0.25">
      <c r="A607" t="s">
        <v>1278</v>
      </c>
      <c r="B607" s="1">
        <v>46090</v>
      </c>
      <c r="C607" s="4">
        <v>0.30763888888888891</v>
      </c>
      <c r="D607" t="s">
        <v>28</v>
      </c>
      <c r="E607" t="s">
        <v>23</v>
      </c>
      <c r="F607" t="s">
        <v>457</v>
      </c>
      <c r="G607">
        <v>84</v>
      </c>
      <c r="H607" t="s">
        <v>849</v>
      </c>
      <c r="I607" t="s">
        <v>38</v>
      </c>
      <c r="J607">
        <v>59</v>
      </c>
      <c r="K607">
        <v>33</v>
      </c>
      <c r="M607" t="s">
        <v>14</v>
      </c>
      <c r="N607" s="2">
        <v>821.34</v>
      </c>
      <c r="O607" s="2" t="str">
        <f>IF(EHR_Export[[#This Row],[Arrival Time]]&lt;=TIME(7,0,0), "Night", IF(EHR_Export[[#This Row],[Arrival Time]]&lt;TIME(15,0,0), "Day", "Evening"))</f>
        <v>Day</v>
      </c>
      <c r="P607" cm="1">
        <f t="array" ref="P6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08" spans="1:16" x14ac:dyDescent="0.25">
      <c r="A608" t="s">
        <v>1434</v>
      </c>
      <c r="B608" s="1">
        <v>46090</v>
      </c>
      <c r="C608" s="4">
        <v>0.8354166666666667</v>
      </c>
      <c r="D608" t="s">
        <v>28</v>
      </c>
      <c r="E608" t="s">
        <v>23</v>
      </c>
      <c r="F608" t="s">
        <v>613</v>
      </c>
      <c r="G608">
        <v>68</v>
      </c>
      <c r="H608" t="s">
        <v>847</v>
      </c>
      <c r="I608" t="s">
        <v>13</v>
      </c>
      <c r="J608">
        <v>99</v>
      </c>
      <c r="K608">
        <v>10</v>
      </c>
      <c r="L608">
        <v>3.6</v>
      </c>
      <c r="M608" t="s">
        <v>14</v>
      </c>
      <c r="N608" s="2">
        <v>724.52</v>
      </c>
      <c r="O608" s="2" t="str">
        <f>IF(EHR_Export[[#This Row],[Arrival Time]]&lt;=TIME(7,0,0), "Night", IF(EHR_Export[[#This Row],[Arrival Time]]&lt;TIME(15,0,0), "Day", "Evening"))</f>
        <v>Evening</v>
      </c>
      <c r="P608" cm="1">
        <f t="array" ref="P6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609" spans="1:16" x14ac:dyDescent="0.25">
      <c r="A609" t="s">
        <v>1526</v>
      </c>
      <c r="B609" s="1">
        <v>46090</v>
      </c>
      <c r="C609" s="4">
        <v>0.86250000000000004</v>
      </c>
      <c r="D609" t="s">
        <v>28</v>
      </c>
      <c r="E609" t="s">
        <v>23</v>
      </c>
      <c r="F609" t="s">
        <v>705</v>
      </c>
      <c r="G609">
        <v>48</v>
      </c>
      <c r="H609" t="s">
        <v>849</v>
      </c>
      <c r="I609" t="s">
        <v>25</v>
      </c>
      <c r="J609">
        <v>78</v>
      </c>
      <c r="K609">
        <v>10</v>
      </c>
      <c r="L609">
        <v>3</v>
      </c>
      <c r="M609" t="s">
        <v>14</v>
      </c>
      <c r="N609" s="2">
        <v>766.22</v>
      </c>
      <c r="O609" s="2" t="str">
        <f>IF(EHR_Export[[#This Row],[Arrival Time]]&lt;=TIME(7,0,0), "Night", IF(EHR_Export[[#This Row],[Arrival Time]]&lt;TIME(15,0,0), "Day", "Evening"))</f>
        <v>Evening</v>
      </c>
      <c r="P609" cm="1">
        <f t="array" ref="P6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610" spans="1:16" x14ac:dyDescent="0.25">
      <c r="A610" t="s">
        <v>1532</v>
      </c>
      <c r="B610" s="1">
        <v>46090</v>
      </c>
      <c r="C610" s="4">
        <v>0.79305555555555551</v>
      </c>
      <c r="D610" t="s">
        <v>126</v>
      </c>
      <c r="E610" t="s">
        <v>46</v>
      </c>
      <c r="F610" t="s">
        <v>711</v>
      </c>
      <c r="G610">
        <v>22</v>
      </c>
      <c r="H610" t="s">
        <v>847</v>
      </c>
      <c r="I610" t="s">
        <v>34</v>
      </c>
      <c r="J610">
        <v>37</v>
      </c>
      <c r="K610">
        <v>28</v>
      </c>
      <c r="M610" t="s">
        <v>14</v>
      </c>
      <c r="N610" s="2">
        <v>2457.54</v>
      </c>
      <c r="O610" s="2" t="str">
        <f>IF(EHR_Export[[#This Row],[Arrival Time]]&lt;=TIME(7,0,0), "Night", IF(EHR_Export[[#This Row],[Arrival Time]]&lt;TIME(15,0,0), "Day", "Evening"))</f>
        <v>Evening</v>
      </c>
      <c r="P610" cm="1">
        <f t="array" ref="P6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11" spans="1:16" x14ac:dyDescent="0.25">
      <c r="A611" t="s">
        <v>1539</v>
      </c>
      <c r="B611" s="1">
        <v>46090</v>
      </c>
      <c r="C611" s="4">
        <v>0.49791666666666667</v>
      </c>
      <c r="D611" t="s">
        <v>28</v>
      </c>
      <c r="E611" t="s">
        <v>23</v>
      </c>
      <c r="F611" t="s">
        <v>718</v>
      </c>
      <c r="G611">
        <v>30</v>
      </c>
      <c r="H611" t="s">
        <v>849</v>
      </c>
      <c r="I611" t="s">
        <v>38</v>
      </c>
      <c r="J611">
        <v>74</v>
      </c>
      <c r="K611">
        <v>26</v>
      </c>
      <c r="M611" t="s">
        <v>14</v>
      </c>
      <c r="N611" s="2">
        <v>583.11</v>
      </c>
      <c r="O611" s="2" t="str">
        <f>IF(EHR_Export[[#This Row],[Arrival Time]]&lt;=TIME(7,0,0), "Night", IF(EHR_Export[[#This Row],[Arrival Time]]&lt;TIME(15,0,0), "Day", "Evening"))</f>
        <v>Day</v>
      </c>
      <c r="P611" cm="1">
        <f t="array" ref="P6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12" spans="1:16" x14ac:dyDescent="0.25">
      <c r="A612" t="s">
        <v>1576</v>
      </c>
      <c r="B612" s="1">
        <v>46090</v>
      </c>
      <c r="C612" s="4">
        <v>0.80972222222222223</v>
      </c>
      <c r="D612" t="s">
        <v>28</v>
      </c>
      <c r="E612" t="s">
        <v>23</v>
      </c>
      <c r="F612" t="s">
        <v>755</v>
      </c>
      <c r="G612">
        <v>53</v>
      </c>
      <c r="H612" t="s">
        <v>847</v>
      </c>
      <c r="I612" t="s">
        <v>34</v>
      </c>
      <c r="J612">
        <v>61</v>
      </c>
      <c r="K612">
        <v>18</v>
      </c>
      <c r="L612">
        <v>3.6</v>
      </c>
      <c r="M612" t="s">
        <v>18</v>
      </c>
      <c r="N612" s="2">
        <v>1054.3</v>
      </c>
      <c r="O612" s="2" t="str">
        <f>IF(EHR_Export[[#This Row],[Arrival Time]]&lt;=TIME(7,0,0), "Night", IF(EHR_Export[[#This Row],[Arrival Time]]&lt;TIME(15,0,0), "Day", "Evening"))</f>
        <v>Evening</v>
      </c>
      <c r="P612" cm="1">
        <f t="array" ref="P6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613" spans="1:16" x14ac:dyDescent="0.25">
      <c r="A613" t="s">
        <v>1588</v>
      </c>
      <c r="B613" s="1">
        <v>46090</v>
      </c>
      <c r="C613" s="4">
        <v>0.56527777777777777</v>
      </c>
      <c r="D613" t="s">
        <v>28</v>
      </c>
      <c r="E613" t="s">
        <v>23</v>
      </c>
      <c r="F613" t="s">
        <v>767</v>
      </c>
      <c r="G613">
        <v>46</v>
      </c>
      <c r="H613" t="s">
        <v>849</v>
      </c>
      <c r="I613" t="s">
        <v>38</v>
      </c>
      <c r="J613">
        <v>47</v>
      </c>
      <c r="K613">
        <v>64</v>
      </c>
      <c r="M613" t="s">
        <v>14</v>
      </c>
      <c r="N613" s="2">
        <v>951.76</v>
      </c>
      <c r="O613" s="2" t="str">
        <f>IF(EHR_Export[[#This Row],[Arrival Time]]&lt;=TIME(7,0,0), "Night", IF(EHR_Export[[#This Row],[Arrival Time]]&lt;TIME(15,0,0), "Day", "Evening"))</f>
        <v>Day</v>
      </c>
      <c r="P613" cm="1">
        <f t="array" ref="P6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14" spans="1:16" x14ac:dyDescent="0.25">
      <c r="A614" t="s">
        <v>1625</v>
      </c>
      <c r="B614" s="1">
        <v>46090</v>
      </c>
      <c r="C614" s="4">
        <v>0.88124999999999998</v>
      </c>
      <c r="D614" t="s">
        <v>28</v>
      </c>
      <c r="E614" t="s">
        <v>23</v>
      </c>
      <c r="F614" t="s">
        <v>804</v>
      </c>
      <c r="G614">
        <v>63</v>
      </c>
      <c r="H614" t="s">
        <v>849</v>
      </c>
      <c r="I614" t="s">
        <v>34</v>
      </c>
      <c r="J614">
        <v>60</v>
      </c>
      <c r="K614">
        <v>67</v>
      </c>
      <c r="L614">
        <v>3.1</v>
      </c>
      <c r="M614" t="s">
        <v>14</v>
      </c>
      <c r="N614" s="2">
        <v>735.38</v>
      </c>
      <c r="O614" s="2" t="str">
        <f>IF(EHR_Export[[#This Row],[Arrival Time]]&lt;=TIME(7,0,0), "Night", IF(EHR_Export[[#This Row],[Arrival Time]]&lt;TIME(15,0,0), "Day", "Evening"))</f>
        <v>Evening</v>
      </c>
      <c r="P614" cm="1">
        <f t="array" ref="P6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615" spans="1:16" x14ac:dyDescent="0.25">
      <c r="A615" t="s">
        <v>915</v>
      </c>
      <c r="B615" s="1">
        <v>46091</v>
      </c>
      <c r="C615" s="4">
        <v>0.41111111111111109</v>
      </c>
      <c r="D615" t="s">
        <v>21</v>
      </c>
      <c r="E615" t="s">
        <v>53</v>
      </c>
      <c r="F615" t="s">
        <v>93</v>
      </c>
      <c r="G615">
        <v>64</v>
      </c>
      <c r="H615" t="s">
        <v>847</v>
      </c>
      <c r="I615" t="s">
        <v>34</v>
      </c>
      <c r="J615">
        <v>30</v>
      </c>
      <c r="K615">
        <v>43</v>
      </c>
      <c r="M615" t="s">
        <v>18</v>
      </c>
      <c r="N615" s="2">
        <v>802.74</v>
      </c>
      <c r="O615" s="2" t="str">
        <f>IF(EHR_Export[[#This Row],[Arrival Time]]&lt;=TIME(7,0,0), "Night", IF(EHR_Export[[#This Row],[Arrival Time]]&lt;TIME(15,0,0), "Day", "Evening"))</f>
        <v>Day</v>
      </c>
      <c r="P615" cm="1">
        <f t="array" ref="P6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16" spans="1:16" x14ac:dyDescent="0.25">
      <c r="A616" t="s">
        <v>977</v>
      </c>
      <c r="B616" s="1">
        <v>46091</v>
      </c>
      <c r="C616" s="4">
        <v>0.37083333333333335</v>
      </c>
      <c r="D616" t="s">
        <v>48</v>
      </c>
      <c r="E616" t="s">
        <v>42</v>
      </c>
      <c r="F616" t="s">
        <v>156</v>
      </c>
      <c r="G616">
        <v>47</v>
      </c>
      <c r="H616" t="s">
        <v>847</v>
      </c>
      <c r="I616" t="s">
        <v>34</v>
      </c>
      <c r="J616">
        <v>37</v>
      </c>
      <c r="K616">
        <v>28</v>
      </c>
      <c r="L616">
        <v>3.2</v>
      </c>
      <c r="M616" t="s">
        <v>14</v>
      </c>
      <c r="N616" s="2">
        <v>828.51</v>
      </c>
      <c r="O616" s="2" t="str">
        <f>IF(EHR_Export[[#This Row],[Arrival Time]]&lt;=TIME(7,0,0), "Night", IF(EHR_Export[[#This Row],[Arrival Time]]&lt;TIME(15,0,0), "Day", "Evening"))</f>
        <v>Day</v>
      </c>
      <c r="P616" cm="1">
        <f t="array" ref="P6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17" spans="1:16" x14ac:dyDescent="0.25">
      <c r="A617" t="s">
        <v>989</v>
      </c>
      <c r="B617" s="1">
        <v>46091</v>
      </c>
      <c r="C617" s="4">
        <v>0.79583333333333328</v>
      </c>
      <c r="D617" t="s">
        <v>28</v>
      </c>
      <c r="E617" t="s">
        <v>23</v>
      </c>
      <c r="F617" t="s">
        <v>168</v>
      </c>
      <c r="G617">
        <v>46</v>
      </c>
      <c r="H617" t="s">
        <v>847</v>
      </c>
      <c r="I617" t="s">
        <v>38</v>
      </c>
      <c r="J617">
        <v>50</v>
      </c>
      <c r="K617">
        <v>27</v>
      </c>
      <c r="L617">
        <v>2.8</v>
      </c>
      <c r="M617" t="s">
        <v>14</v>
      </c>
      <c r="N617" s="2">
        <v>570.25</v>
      </c>
      <c r="O617" s="2" t="str">
        <f>IF(EHR_Export[[#This Row],[Arrival Time]]&lt;=TIME(7,0,0), "Night", IF(EHR_Export[[#This Row],[Arrival Time]]&lt;TIME(15,0,0), "Day", "Evening"))</f>
        <v>Evening</v>
      </c>
      <c r="P617" cm="1">
        <f t="array" ref="P6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618" spans="1:16" x14ac:dyDescent="0.25">
      <c r="A618" t="s">
        <v>1094</v>
      </c>
      <c r="B618" s="1">
        <v>46091</v>
      </c>
      <c r="C618" s="4">
        <v>0.11388888888888889</v>
      </c>
      <c r="D618" t="s">
        <v>28</v>
      </c>
      <c r="E618" t="s">
        <v>23</v>
      </c>
      <c r="F618" t="s">
        <v>273</v>
      </c>
      <c r="G618">
        <v>49</v>
      </c>
      <c r="H618" t="s">
        <v>847</v>
      </c>
      <c r="I618" t="s">
        <v>25</v>
      </c>
      <c r="J618">
        <v>33</v>
      </c>
      <c r="K618">
        <v>90</v>
      </c>
      <c r="L618">
        <v>3</v>
      </c>
      <c r="M618" t="s">
        <v>14</v>
      </c>
      <c r="N618" s="2">
        <v>604.23</v>
      </c>
      <c r="O618" s="2" t="str">
        <f>IF(EHR_Export[[#This Row],[Arrival Time]]&lt;=TIME(7,0,0), "Night", IF(EHR_Export[[#This Row],[Arrival Time]]&lt;TIME(15,0,0), "Day", "Evening"))</f>
        <v>Night</v>
      </c>
      <c r="P618" cm="1">
        <f t="array" ref="P6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19" spans="1:16" x14ac:dyDescent="0.25">
      <c r="A619" t="s">
        <v>1397</v>
      </c>
      <c r="B619" s="1">
        <v>46091</v>
      </c>
      <c r="C619" s="4">
        <v>0.57916666666666672</v>
      </c>
      <c r="D619" t="s">
        <v>28</v>
      </c>
      <c r="E619" t="s">
        <v>23</v>
      </c>
      <c r="F619" t="s">
        <v>576</v>
      </c>
      <c r="G619">
        <v>11</v>
      </c>
      <c r="H619" t="s">
        <v>849</v>
      </c>
      <c r="I619" t="s">
        <v>25</v>
      </c>
      <c r="J619">
        <v>30</v>
      </c>
      <c r="K619">
        <v>41</v>
      </c>
      <c r="L619">
        <v>3.9</v>
      </c>
      <c r="M619" t="s">
        <v>14</v>
      </c>
      <c r="N619" s="2">
        <v>546.83000000000004</v>
      </c>
      <c r="O619" s="2" t="str">
        <f>IF(EHR_Export[[#This Row],[Arrival Time]]&lt;=TIME(7,0,0), "Night", IF(EHR_Export[[#This Row],[Arrival Time]]&lt;TIME(15,0,0), "Day", "Evening"))</f>
        <v>Day</v>
      </c>
      <c r="P619" cm="1">
        <f t="array" ref="P6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20" spans="1:16" x14ac:dyDescent="0.25">
      <c r="A620" t="s">
        <v>1410</v>
      </c>
      <c r="B620" s="1">
        <v>46091</v>
      </c>
      <c r="C620" s="4">
        <v>0.2638888888888889</v>
      </c>
      <c r="D620" t="s">
        <v>28</v>
      </c>
      <c r="E620" t="s">
        <v>23</v>
      </c>
      <c r="F620" t="s">
        <v>589</v>
      </c>
      <c r="G620">
        <v>62</v>
      </c>
      <c r="H620" t="s">
        <v>847</v>
      </c>
      <c r="I620" t="s">
        <v>25</v>
      </c>
      <c r="J620">
        <v>35</v>
      </c>
      <c r="K620">
        <v>40</v>
      </c>
      <c r="L620">
        <v>3.1</v>
      </c>
      <c r="N620" s="2">
        <v>792.31</v>
      </c>
      <c r="O620" s="2" t="str">
        <f>IF(EHR_Export[[#This Row],[Arrival Time]]&lt;=TIME(7,0,0), "Night", IF(EHR_Export[[#This Row],[Arrival Time]]&lt;TIME(15,0,0), "Day", "Evening"))</f>
        <v>Night</v>
      </c>
      <c r="P620" cm="1">
        <f t="array" ref="P6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21" spans="1:16" x14ac:dyDescent="0.25">
      <c r="A621" t="s">
        <v>1477</v>
      </c>
      <c r="B621" s="1">
        <v>46091</v>
      </c>
      <c r="C621" s="4">
        <v>0.22013888888888888</v>
      </c>
      <c r="D621" t="s">
        <v>48</v>
      </c>
      <c r="E621" t="s">
        <v>42</v>
      </c>
      <c r="F621" t="s">
        <v>656</v>
      </c>
      <c r="G621">
        <v>42</v>
      </c>
      <c r="H621" t="s">
        <v>847</v>
      </c>
      <c r="I621" t="s">
        <v>38</v>
      </c>
      <c r="J621">
        <v>37</v>
      </c>
      <c r="K621">
        <v>39</v>
      </c>
      <c r="L621">
        <v>4</v>
      </c>
      <c r="M621" t="s">
        <v>14</v>
      </c>
      <c r="N621" s="2">
        <v>1512.34</v>
      </c>
      <c r="O621" s="2" t="str">
        <f>IF(EHR_Export[[#This Row],[Arrival Time]]&lt;=TIME(7,0,0), "Night", IF(EHR_Export[[#This Row],[Arrival Time]]&lt;TIME(15,0,0), "Day", "Evening"))</f>
        <v>Night</v>
      </c>
      <c r="P621" cm="1">
        <f t="array" ref="P6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622" spans="1:16" x14ac:dyDescent="0.25">
      <c r="A622" t="s">
        <v>1557</v>
      </c>
      <c r="B622" s="1">
        <v>46091</v>
      </c>
      <c r="C622" s="4">
        <v>0.75624999999999998</v>
      </c>
      <c r="D622" t="s">
        <v>58</v>
      </c>
      <c r="E622" t="s">
        <v>842</v>
      </c>
      <c r="F622" t="s">
        <v>736</v>
      </c>
      <c r="G622">
        <v>58</v>
      </c>
      <c r="H622" t="s">
        <v>847</v>
      </c>
      <c r="I622" t="s">
        <v>25</v>
      </c>
      <c r="J622">
        <v>79</v>
      </c>
      <c r="K622">
        <v>60</v>
      </c>
      <c r="L622">
        <v>3.3</v>
      </c>
      <c r="M622" t="s">
        <v>14</v>
      </c>
      <c r="N622" s="2">
        <v>2935.81</v>
      </c>
      <c r="O622" s="2" t="str">
        <f>IF(EHR_Export[[#This Row],[Arrival Time]]&lt;=TIME(7,0,0), "Night", IF(EHR_Export[[#This Row],[Arrival Time]]&lt;TIME(15,0,0), "Day", "Evening"))</f>
        <v>Evening</v>
      </c>
      <c r="P622" cm="1">
        <f t="array" ref="P6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23" spans="1:16" x14ac:dyDescent="0.25">
      <c r="A623" t="s">
        <v>885</v>
      </c>
      <c r="B623" s="1">
        <v>46092</v>
      </c>
      <c r="C623" s="4">
        <v>0.86736111111111114</v>
      </c>
      <c r="D623" t="s">
        <v>28</v>
      </c>
      <c r="E623" t="s">
        <v>23</v>
      </c>
      <c r="F623" t="s">
        <v>63</v>
      </c>
      <c r="G623">
        <v>32</v>
      </c>
      <c r="H623" t="s">
        <v>849</v>
      </c>
      <c r="I623" t="s">
        <v>13</v>
      </c>
      <c r="J623">
        <v>54</v>
      </c>
      <c r="K623">
        <v>57</v>
      </c>
      <c r="L623">
        <v>3.7</v>
      </c>
      <c r="M623" t="s">
        <v>14</v>
      </c>
      <c r="N623" s="2">
        <v>615.41999999999996</v>
      </c>
      <c r="O623" s="2" t="str">
        <f>IF(EHR_Export[[#This Row],[Arrival Time]]&lt;=TIME(7,0,0), "Night", IF(EHR_Export[[#This Row],[Arrival Time]]&lt;TIME(15,0,0), "Day", "Evening"))</f>
        <v>Evening</v>
      </c>
      <c r="P623" cm="1">
        <f t="array" ref="P6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24" spans="1:16" x14ac:dyDescent="0.25">
      <c r="A624" t="s">
        <v>1082</v>
      </c>
      <c r="B624" s="1">
        <v>46092</v>
      </c>
      <c r="C624" s="4">
        <v>0.4597222222222222</v>
      </c>
      <c r="D624" t="s">
        <v>48</v>
      </c>
      <c r="E624" t="s">
        <v>42</v>
      </c>
      <c r="F624" t="s">
        <v>261</v>
      </c>
      <c r="G624">
        <v>64</v>
      </c>
      <c r="H624" t="s">
        <v>849</v>
      </c>
      <c r="I624" t="s">
        <v>34</v>
      </c>
      <c r="J624">
        <v>35</v>
      </c>
      <c r="K624">
        <v>33</v>
      </c>
      <c r="L624">
        <v>3</v>
      </c>
      <c r="N624" s="2">
        <v>2207.79</v>
      </c>
      <c r="O624" s="2" t="str">
        <f>IF(EHR_Export[[#This Row],[Arrival Time]]&lt;=TIME(7,0,0), "Night", IF(EHR_Export[[#This Row],[Arrival Time]]&lt;TIME(15,0,0), "Day", "Evening"))</f>
        <v>Day</v>
      </c>
      <c r="P624" cm="1">
        <f t="array" ref="P6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25" spans="1:16" x14ac:dyDescent="0.25">
      <c r="A625" t="s">
        <v>1085</v>
      </c>
      <c r="B625" s="1">
        <v>46092</v>
      </c>
      <c r="C625" s="4">
        <v>0.6381944444444444</v>
      </c>
      <c r="D625" t="s">
        <v>48</v>
      </c>
      <c r="E625" t="s">
        <v>42</v>
      </c>
      <c r="F625" t="s">
        <v>264</v>
      </c>
      <c r="G625">
        <v>43</v>
      </c>
      <c r="H625" t="s">
        <v>849</v>
      </c>
      <c r="I625" t="s">
        <v>13</v>
      </c>
      <c r="J625">
        <v>52</v>
      </c>
      <c r="K625">
        <v>45</v>
      </c>
      <c r="L625">
        <v>4.0999999999999996</v>
      </c>
      <c r="M625" t="s">
        <v>14</v>
      </c>
      <c r="N625" s="2">
        <v>1784.11</v>
      </c>
      <c r="O625" s="2" t="str">
        <f>IF(EHR_Export[[#This Row],[Arrival Time]]&lt;=TIME(7,0,0), "Night", IF(EHR_Export[[#This Row],[Arrival Time]]&lt;TIME(15,0,0), "Day", "Evening"))</f>
        <v>Evening</v>
      </c>
      <c r="P625" cm="1">
        <f t="array" ref="P6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26" spans="1:16" x14ac:dyDescent="0.25">
      <c r="A626" t="s">
        <v>1128</v>
      </c>
      <c r="B626" s="1">
        <v>46092</v>
      </c>
      <c r="C626" s="4">
        <v>0.82499999999999996</v>
      </c>
      <c r="D626" t="s">
        <v>21</v>
      </c>
      <c r="E626" t="s">
        <v>53</v>
      </c>
      <c r="F626" t="s">
        <v>307</v>
      </c>
      <c r="G626">
        <v>73</v>
      </c>
      <c r="H626" t="s">
        <v>849</v>
      </c>
      <c r="I626" t="s">
        <v>25</v>
      </c>
      <c r="J626">
        <v>10</v>
      </c>
      <c r="K626">
        <v>62</v>
      </c>
      <c r="L626">
        <v>4.2</v>
      </c>
      <c r="M626" t="s">
        <v>14</v>
      </c>
      <c r="N626" s="2">
        <v>700.99</v>
      </c>
      <c r="O626" s="2" t="str">
        <f>IF(EHR_Export[[#This Row],[Arrival Time]]&lt;=TIME(7,0,0), "Night", IF(EHR_Export[[#This Row],[Arrival Time]]&lt;TIME(15,0,0), "Day", "Evening"))</f>
        <v>Evening</v>
      </c>
      <c r="P626" cm="1">
        <f t="array" ref="P6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27" spans="1:16" x14ac:dyDescent="0.25">
      <c r="A627" t="s">
        <v>1180</v>
      </c>
      <c r="B627" s="1">
        <v>46092</v>
      </c>
      <c r="C627" s="4">
        <v>0.5805555555555556</v>
      </c>
      <c r="D627" t="s">
        <v>126</v>
      </c>
      <c r="E627" t="s">
        <v>46</v>
      </c>
      <c r="F627" t="s">
        <v>359</v>
      </c>
      <c r="G627">
        <v>39</v>
      </c>
      <c r="H627" t="s">
        <v>849</v>
      </c>
      <c r="I627" t="s">
        <v>13</v>
      </c>
      <c r="J627">
        <v>36</v>
      </c>
      <c r="K627">
        <v>20</v>
      </c>
      <c r="M627" t="s">
        <v>14</v>
      </c>
      <c r="N627" s="2">
        <v>2545.85</v>
      </c>
      <c r="O627" s="2" t="str">
        <f>IF(EHR_Export[[#This Row],[Arrival Time]]&lt;=TIME(7,0,0), "Night", IF(EHR_Export[[#This Row],[Arrival Time]]&lt;TIME(15,0,0), "Day", "Evening"))</f>
        <v>Day</v>
      </c>
      <c r="P627" cm="1">
        <f t="array" ref="P6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28" spans="1:16" x14ac:dyDescent="0.25">
      <c r="A628" t="s">
        <v>1214</v>
      </c>
      <c r="B628" s="1">
        <v>46092</v>
      </c>
      <c r="C628" s="4">
        <v>0.60138888888888886</v>
      </c>
      <c r="D628" t="s">
        <v>48</v>
      </c>
      <c r="E628" t="s">
        <v>42</v>
      </c>
      <c r="F628" t="s">
        <v>393</v>
      </c>
      <c r="G628">
        <v>53</v>
      </c>
      <c r="H628" t="s">
        <v>847</v>
      </c>
      <c r="I628" t="s">
        <v>34</v>
      </c>
      <c r="J628">
        <v>36</v>
      </c>
      <c r="K628">
        <v>53</v>
      </c>
      <c r="L628">
        <v>2.9</v>
      </c>
      <c r="M628" t="s">
        <v>14</v>
      </c>
      <c r="N628" s="2">
        <v>1749.18</v>
      </c>
      <c r="O628" s="2" t="str">
        <f>IF(EHR_Export[[#This Row],[Arrival Time]]&lt;=TIME(7,0,0), "Night", IF(EHR_Export[[#This Row],[Arrival Time]]&lt;TIME(15,0,0), "Day", "Evening"))</f>
        <v>Day</v>
      </c>
      <c r="P628" cm="1">
        <f t="array" ref="P6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29" spans="1:16" x14ac:dyDescent="0.25">
      <c r="A629" t="s">
        <v>1307</v>
      </c>
      <c r="B629" s="1">
        <v>46092</v>
      </c>
      <c r="C629" s="4">
        <v>0.56111111111111112</v>
      </c>
      <c r="D629" t="s">
        <v>126</v>
      </c>
      <c r="E629" t="s">
        <v>46</v>
      </c>
      <c r="F629" t="s">
        <v>486</v>
      </c>
      <c r="G629">
        <v>9</v>
      </c>
      <c r="H629" t="s">
        <v>849</v>
      </c>
      <c r="I629" t="s">
        <v>25</v>
      </c>
      <c r="J629">
        <v>31</v>
      </c>
      <c r="K629">
        <v>42</v>
      </c>
      <c r="L629">
        <v>3.1</v>
      </c>
      <c r="M629" t="s">
        <v>14</v>
      </c>
      <c r="N629" s="2">
        <v>1858.42</v>
      </c>
      <c r="O629" s="2" t="str">
        <f>IF(EHR_Export[[#This Row],[Arrival Time]]&lt;=TIME(7,0,0), "Night", IF(EHR_Export[[#This Row],[Arrival Time]]&lt;TIME(15,0,0), "Day", "Evening"))</f>
        <v>Day</v>
      </c>
      <c r="P629" cm="1">
        <f t="array" ref="P6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30" spans="1:16" x14ac:dyDescent="0.25">
      <c r="A630" t="s">
        <v>1448</v>
      </c>
      <c r="B630" s="1">
        <v>46092</v>
      </c>
      <c r="C630" s="4">
        <v>0.37013888888888891</v>
      </c>
      <c r="D630" t="s">
        <v>28</v>
      </c>
      <c r="E630" t="s">
        <v>23</v>
      </c>
      <c r="F630" t="s">
        <v>627</v>
      </c>
      <c r="G630">
        <v>53</v>
      </c>
      <c r="H630" t="s">
        <v>847</v>
      </c>
      <c r="I630" t="s">
        <v>25</v>
      </c>
      <c r="J630">
        <v>46</v>
      </c>
      <c r="K630">
        <v>15</v>
      </c>
      <c r="L630">
        <v>2.8</v>
      </c>
      <c r="M630" t="s">
        <v>14</v>
      </c>
      <c r="N630" s="2">
        <v>1445.45</v>
      </c>
      <c r="O630" s="2" t="str">
        <f>IF(EHR_Export[[#This Row],[Arrival Time]]&lt;=TIME(7,0,0), "Night", IF(EHR_Export[[#This Row],[Arrival Time]]&lt;TIME(15,0,0), "Day", "Evening"))</f>
        <v>Day</v>
      </c>
      <c r="P630" cm="1">
        <f t="array" ref="P6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31" spans="1:16" x14ac:dyDescent="0.25">
      <c r="A631" t="s">
        <v>1546</v>
      </c>
      <c r="B631" s="1">
        <v>46092</v>
      </c>
      <c r="C631" s="4">
        <v>0.56666666666666665</v>
      </c>
      <c r="D631" t="s">
        <v>28</v>
      </c>
      <c r="E631" t="s">
        <v>23</v>
      </c>
      <c r="F631" t="s">
        <v>725</v>
      </c>
      <c r="G631">
        <v>108</v>
      </c>
      <c r="H631" t="s">
        <v>847</v>
      </c>
      <c r="I631" t="s">
        <v>13</v>
      </c>
      <c r="J631">
        <v>66</v>
      </c>
      <c r="K631">
        <v>49</v>
      </c>
      <c r="L631">
        <v>3.8</v>
      </c>
      <c r="M631" t="s">
        <v>14</v>
      </c>
      <c r="N631" s="2">
        <v>484.13</v>
      </c>
      <c r="O631" s="2" t="str">
        <f>IF(EHR_Export[[#This Row],[Arrival Time]]&lt;=TIME(7,0,0), "Night", IF(EHR_Export[[#This Row],[Arrival Time]]&lt;TIME(15,0,0), "Day", "Evening"))</f>
        <v>Day</v>
      </c>
      <c r="P631" cm="1">
        <f t="array" ref="P6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32" spans="1:16" x14ac:dyDescent="0.25">
      <c r="A632" t="s">
        <v>1575</v>
      </c>
      <c r="B632" s="1">
        <v>46092</v>
      </c>
      <c r="C632" s="4">
        <v>0.52222222222222225</v>
      </c>
      <c r="D632" t="s">
        <v>21</v>
      </c>
      <c r="E632" t="s">
        <v>53</v>
      </c>
      <c r="F632" t="s">
        <v>754</v>
      </c>
      <c r="G632">
        <v>26</v>
      </c>
      <c r="H632" t="s">
        <v>847</v>
      </c>
      <c r="I632" t="s">
        <v>25</v>
      </c>
      <c r="J632">
        <v>38</v>
      </c>
      <c r="K632">
        <v>37</v>
      </c>
      <c r="L632">
        <v>4.7</v>
      </c>
      <c r="M632" t="s">
        <v>14</v>
      </c>
      <c r="N632" s="2">
        <v>746.95</v>
      </c>
      <c r="O632" s="2" t="str">
        <f>IF(EHR_Export[[#This Row],[Arrival Time]]&lt;=TIME(7,0,0), "Night", IF(EHR_Export[[#This Row],[Arrival Time]]&lt;TIME(15,0,0), "Day", "Evening"))</f>
        <v>Day</v>
      </c>
      <c r="P632" cm="1">
        <f t="array" ref="P6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33" spans="1:16" x14ac:dyDescent="0.25">
      <c r="A633" t="s">
        <v>1627</v>
      </c>
      <c r="B633" s="1">
        <v>46092</v>
      </c>
      <c r="C633" s="4">
        <v>0.83611111111111114</v>
      </c>
      <c r="D633" t="s">
        <v>126</v>
      </c>
      <c r="E633" t="s">
        <v>46</v>
      </c>
      <c r="F633" t="s">
        <v>806</v>
      </c>
      <c r="G633">
        <v>41</v>
      </c>
      <c r="H633" t="s">
        <v>849</v>
      </c>
      <c r="I633" t="s">
        <v>25</v>
      </c>
      <c r="J633">
        <v>64</v>
      </c>
      <c r="K633">
        <v>54</v>
      </c>
      <c r="L633">
        <v>2.7</v>
      </c>
      <c r="M633" t="s">
        <v>14</v>
      </c>
      <c r="N633" s="2">
        <v>1671.05</v>
      </c>
      <c r="O633" s="2" t="str">
        <f>IF(EHR_Export[[#This Row],[Arrival Time]]&lt;=TIME(7,0,0), "Night", IF(EHR_Export[[#This Row],[Arrival Time]]&lt;TIME(15,0,0), "Day", "Evening"))</f>
        <v>Evening</v>
      </c>
      <c r="P633" cm="1">
        <f t="array" ref="P6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34" spans="1:16" x14ac:dyDescent="0.25">
      <c r="A634" t="s">
        <v>900</v>
      </c>
      <c r="B634" s="1">
        <v>46093</v>
      </c>
      <c r="C634" s="4">
        <v>0.54791666666666672</v>
      </c>
      <c r="D634" t="s">
        <v>28</v>
      </c>
      <c r="E634" t="s">
        <v>23</v>
      </c>
      <c r="F634" t="s">
        <v>78</v>
      </c>
      <c r="G634">
        <v>58</v>
      </c>
      <c r="H634" t="s">
        <v>847</v>
      </c>
      <c r="I634" t="s">
        <v>38</v>
      </c>
      <c r="J634">
        <v>5</v>
      </c>
      <c r="K634">
        <v>53</v>
      </c>
      <c r="L634">
        <v>2.9</v>
      </c>
      <c r="M634" t="s">
        <v>14</v>
      </c>
      <c r="N634" s="2">
        <v>965.4</v>
      </c>
      <c r="O634" s="2" t="str">
        <f>IF(EHR_Export[[#This Row],[Arrival Time]]&lt;=TIME(7,0,0), "Night", IF(EHR_Export[[#This Row],[Arrival Time]]&lt;TIME(15,0,0), "Day", "Evening"))</f>
        <v>Day</v>
      </c>
      <c r="P634" cm="1">
        <f t="array" ref="P6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35" spans="1:16" x14ac:dyDescent="0.25">
      <c r="A635" t="s">
        <v>1027</v>
      </c>
      <c r="B635" s="1">
        <v>46093</v>
      </c>
      <c r="C635" s="4">
        <v>0.53611111111111109</v>
      </c>
      <c r="D635" t="s">
        <v>28</v>
      </c>
      <c r="E635" t="s">
        <v>23</v>
      </c>
      <c r="F635" t="s">
        <v>206</v>
      </c>
      <c r="G635">
        <v>50</v>
      </c>
      <c r="H635" t="s">
        <v>847</v>
      </c>
      <c r="I635" t="s">
        <v>34</v>
      </c>
      <c r="J635">
        <v>66</v>
      </c>
      <c r="K635">
        <v>51</v>
      </c>
      <c r="L635">
        <v>2.9</v>
      </c>
      <c r="M635" t="s">
        <v>14</v>
      </c>
      <c r="N635" s="2">
        <v>590.48</v>
      </c>
      <c r="O635" s="2" t="str">
        <f>IF(EHR_Export[[#This Row],[Arrival Time]]&lt;=TIME(7,0,0), "Night", IF(EHR_Export[[#This Row],[Arrival Time]]&lt;TIME(15,0,0), "Day", "Evening"))</f>
        <v>Day</v>
      </c>
      <c r="P635" cm="1">
        <f t="array" ref="P6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36" spans="1:16" x14ac:dyDescent="0.25">
      <c r="A636" t="s">
        <v>1061</v>
      </c>
      <c r="B636" s="1">
        <v>46093</v>
      </c>
      <c r="C636" s="4">
        <v>0.50486111111111109</v>
      </c>
      <c r="D636" t="s">
        <v>48</v>
      </c>
      <c r="E636" t="s">
        <v>42</v>
      </c>
      <c r="F636" t="s">
        <v>240</v>
      </c>
      <c r="G636">
        <v>63</v>
      </c>
      <c r="H636" t="s">
        <v>849</v>
      </c>
      <c r="I636" t="s">
        <v>13</v>
      </c>
      <c r="J636">
        <v>58</v>
      </c>
      <c r="K636">
        <v>20</v>
      </c>
      <c r="L636">
        <v>3.3</v>
      </c>
      <c r="M636" t="s">
        <v>18</v>
      </c>
      <c r="N636" s="2">
        <v>1533.27</v>
      </c>
      <c r="O636" s="2" t="str">
        <f>IF(EHR_Export[[#This Row],[Arrival Time]]&lt;=TIME(7,0,0), "Night", IF(EHR_Export[[#This Row],[Arrival Time]]&lt;TIME(15,0,0), "Day", "Evening"))</f>
        <v>Day</v>
      </c>
      <c r="P636" cm="1">
        <f t="array" ref="P6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37" spans="1:16" x14ac:dyDescent="0.25">
      <c r="A637" t="s">
        <v>1213</v>
      </c>
      <c r="B637" s="1">
        <v>46093</v>
      </c>
      <c r="C637" s="4">
        <v>0.57847222222222228</v>
      </c>
      <c r="D637" t="s">
        <v>28</v>
      </c>
      <c r="E637" t="s">
        <v>23</v>
      </c>
      <c r="F637" t="s">
        <v>392</v>
      </c>
      <c r="G637">
        <v>150</v>
      </c>
      <c r="H637" t="s">
        <v>849</v>
      </c>
      <c r="I637" t="s">
        <v>34</v>
      </c>
      <c r="J637">
        <v>26</v>
      </c>
      <c r="K637">
        <v>22</v>
      </c>
      <c r="M637" t="s">
        <v>14</v>
      </c>
      <c r="N637" s="2">
        <v>994.57</v>
      </c>
      <c r="O637" s="2" t="str">
        <f>IF(EHR_Export[[#This Row],[Arrival Time]]&lt;=TIME(7,0,0), "Night", IF(EHR_Export[[#This Row],[Arrival Time]]&lt;TIME(15,0,0), "Day", "Evening"))</f>
        <v>Day</v>
      </c>
      <c r="P637" cm="1">
        <f t="array" ref="P6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38" spans="1:16" x14ac:dyDescent="0.25">
      <c r="A638" t="s">
        <v>1244</v>
      </c>
      <c r="B638" s="1">
        <v>46093</v>
      </c>
      <c r="C638" s="4">
        <v>0.46597222222222223</v>
      </c>
      <c r="D638" t="s">
        <v>21</v>
      </c>
      <c r="E638" t="s">
        <v>53</v>
      </c>
      <c r="F638" t="s">
        <v>423</v>
      </c>
      <c r="G638">
        <v>70</v>
      </c>
      <c r="H638" t="s">
        <v>847</v>
      </c>
      <c r="I638" t="s">
        <v>25</v>
      </c>
      <c r="J638">
        <v>38</v>
      </c>
      <c r="K638">
        <v>48</v>
      </c>
      <c r="L638">
        <v>4.2</v>
      </c>
      <c r="M638" t="s">
        <v>14</v>
      </c>
      <c r="N638" s="2">
        <v>423.34</v>
      </c>
      <c r="O638" s="2" t="str">
        <f>IF(EHR_Export[[#This Row],[Arrival Time]]&lt;=TIME(7,0,0), "Night", IF(EHR_Export[[#This Row],[Arrival Time]]&lt;TIME(15,0,0), "Day", "Evening"))</f>
        <v>Day</v>
      </c>
      <c r="P638" cm="1">
        <f t="array" ref="P6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39" spans="1:16" x14ac:dyDescent="0.25">
      <c r="A639" t="s">
        <v>1299</v>
      </c>
      <c r="B639" s="1">
        <v>46093</v>
      </c>
      <c r="C639" s="4">
        <v>0.63541666666666663</v>
      </c>
      <c r="D639" t="s">
        <v>21</v>
      </c>
      <c r="E639" t="s">
        <v>53</v>
      </c>
      <c r="F639" t="s">
        <v>478</v>
      </c>
      <c r="G639">
        <v>22</v>
      </c>
      <c r="H639" t="s">
        <v>847</v>
      </c>
      <c r="I639" t="s">
        <v>34</v>
      </c>
      <c r="J639">
        <v>57</v>
      </c>
      <c r="K639">
        <v>49</v>
      </c>
      <c r="L639">
        <v>4.4000000000000004</v>
      </c>
      <c r="M639" t="s">
        <v>14</v>
      </c>
      <c r="N639" s="2">
        <v>736.16</v>
      </c>
      <c r="O639" s="2" t="str">
        <f>IF(EHR_Export[[#This Row],[Arrival Time]]&lt;=TIME(7,0,0), "Night", IF(EHR_Export[[#This Row],[Arrival Time]]&lt;TIME(15,0,0), "Day", "Evening"))</f>
        <v>Evening</v>
      </c>
      <c r="P639" cm="1">
        <f t="array" ref="P6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40" spans="1:16" x14ac:dyDescent="0.25">
      <c r="A640" t="s">
        <v>1372</v>
      </c>
      <c r="B640" s="1">
        <v>46093</v>
      </c>
      <c r="C640" s="4">
        <v>0.66249999999999998</v>
      </c>
      <c r="D640" t="s">
        <v>21</v>
      </c>
      <c r="E640" t="s">
        <v>53</v>
      </c>
      <c r="F640" t="s">
        <v>551</v>
      </c>
      <c r="G640">
        <v>52</v>
      </c>
      <c r="H640" t="s">
        <v>847</v>
      </c>
      <c r="I640" t="s">
        <v>25</v>
      </c>
      <c r="J640">
        <v>17</v>
      </c>
      <c r="K640">
        <v>27</v>
      </c>
      <c r="L640">
        <v>4.4000000000000004</v>
      </c>
      <c r="M640" t="s">
        <v>14</v>
      </c>
      <c r="N640" s="2">
        <v>505.96</v>
      </c>
      <c r="O640" s="2" t="str">
        <f>IF(EHR_Export[[#This Row],[Arrival Time]]&lt;=TIME(7,0,0), "Night", IF(EHR_Export[[#This Row],[Arrival Time]]&lt;TIME(15,0,0), "Day", "Evening"))</f>
        <v>Evening</v>
      </c>
      <c r="P640" cm="1">
        <f t="array" ref="P6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41" spans="1:16" x14ac:dyDescent="0.25">
      <c r="A641" t="s">
        <v>1213</v>
      </c>
      <c r="B641" s="1">
        <v>46093</v>
      </c>
      <c r="C641" s="4">
        <v>0.57847222222222228</v>
      </c>
      <c r="D641" t="s">
        <v>28</v>
      </c>
      <c r="E641" t="s">
        <v>23</v>
      </c>
      <c r="F641" t="s">
        <v>392</v>
      </c>
      <c r="G641">
        <v>150</v>
      </c>
      <c r="H641" t="s">
        <v>849</v>
      </c>
      <c r="I641" t="s">
        <v>34</v>
      </c>
      <c r="J641">
        <v>26</v>
      </c>
      <c r="K641">
        <v>22</v>
      </c>
      <c r="M641" t="s">
        <v>14</v>
      </c>
      <c r="N641" s="2">
        <v>994.57</v>
      </c>
      <c r="O641" s="2" t="str">
        <f>IF(EHR_Export[[#This Row],[Arrival Time]]&lt;=TIME(7,0,0), "Night", IF(EHR_Export[[#This Row],[Arrival Time]]&lt;TIME(15,0,0), "Day", "Evening"))</f>
        <v>Day</v>
      </c>
      <c r="P641" cm="1">
        <f t="array" ref="P6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42" spans="1:16" x14ac:dyDescent="0.25">
      <c r="A642" t="s">
        <v>1611</v>
      </c>
      <c r="B642" s="1">
        <v>46093</v>
      </c>
      <c r="C642" s="4">
        <v>0.46875</v>
      </c>
      <c r="D642" t="s">
        <v>28</v>
      </c>
      <c r="E642" t="s">
        <v>23</v>
      </c>
      <c r="F642" t="s">
        <v>790</v>
      </c>
      <c r="G642">
        <v>42</v>
      </c>
      <c r="H642" t="s">
        <v>849</v>
      </c>
      <c r="I642" t="s">
        <v>25</v>
      </c>
      <c r="J642">
        <v>39</v>
      </c>
      <c r="K642">
        <v>37</v>
      </c>
      <c r="L642">
        <v>4</v>
      </c>
      <c r="M642" t="s">
        <v>14</v>
      </c>
      <c r="N642" s="2">
        <v>1228.6099999999999</v>
      </c>
      <c r="O642" s="2" t="str">
        <f>IF(EHR_Export[[#This Row],[Arrival Time]]&lt;=TIME(7,0,0), "Night", IF(EHR_Export[[#This Row],[Arrival Time]]&lt;TIME(15,0,0), "Day", "Evening"))</f>
        <v>Day</v>
      </c>
      <c r="P642" cm="1">
        <f t="array" ref="P6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43" spans="1:16" x14ac:dyDescent="0.25">
      <c r="A643" t="s">
        <v>1038</v>
      </c>
      <c r="B643" s="1">
        <v>46094</v>
      </c>
      <c r="C643" s="4">
        <v>0.5756944444444444</v>
      </c>
      <c r="D643" t="s">
        <v>28</v>
      </c>
      <c r="E643" t="s">
        <v>23</v>
      </c>
      <c r="F643" t="s">
        <v>217</v>
      </c>
      <c r="G643">
        <v>21</v>
      </c>
      <c r="H643" t="s">
        <v>847</v>
      </c>
      <c r="I643" t="s">
        <v>38</v>
      </c>
      <c r="J643">
        <v>36</v>
      </c>
      <c r="K643">
        <v>10</v>
      </c>
      <c r="L643">
        <v>3.8</v>
      </c>
      <c r="M643" t="s">
        <v>14</v>
      </c>
      <c r="N643" s="2">
        <v>594.89</v>
      </c>
      <c r="O643" s="2" t="str">
        <f>IF(EHR_Export[[#This Row],[Arrival Time]]&lt;=TIME(7,0,0), "Night", IF(EHR_Export[[#This Row],[Arrival Time]]&lt;TIME(15,0,0), "Day", "Evening"))</f>
        <v>Day</v>
      </c>
      <c r="P643" cm="1">
        <f t="array" ref="P6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44" spans="1:16" x14ac:dyDescent="0.25">
      <c r="A644" t="s">
        <v>1130</v>
      </c>
      <c r="B644" s="1">
        <v>46094</v>
      </c>
      <c r="C644" s="4">
        <v>0.38541666666666669</v>
      </c>
      <c r="D644" t="s">
        <v>126</v>
      </c>
      <c r="E644" t="s">
        <v>46</v>
      </c>
      <c r="F644" t="s">
        <v>309</v>
      </c>
      <c r="G644">
        <v>100</v>
      </c>
      <c r="H644" t="s">
        <v>847</v>
      </c>
      <c r="I644" t="s">
        <v>13</v>
      </c>
      <c r="J644">
        <v>41</v>
      </c>
      <c r="K644">
        <v>51</v>
      </c>
      <c r="L644">
        <v>3.7</v>
      </c>
      <c r="M644" t="s">
        <v>14</v>
      </c>
      <c r="N644" s="2">
        <v>1713.2</v>
      </c>
      <c r="O644" s="2" t="str">
        <f>IF(EHR_Export[[#This Row],[Arrival Time]]&lt;=TIME(7,0,0), "Night", IF(EHR_Export[[#This Row],[Arrival Time]]&lt;TIME(15,0,0), "Day", "Evening"))</f>
        <v>Day</v>
      </c>
      <c r="P644" cm="1">
        <f t="array" ref="P6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45" spans="1:16" x14ac:dyDescent="0.25">
      <c r="A645" t="s">
        <v>1133</v>
      </c>
      <c r="B645" s="1">
        <v>46094</v>
      </c>
      <c r="C645" s="4">
        <v>0.79097222222222219</v>
      </c>
      <c r="D645" t="s">
        <v>28</v>
      </c>
      <c r="E645" t="s">
        <v>23</v>
      </c>
      <c r="F645" t="s">
        <v>312</v>
      </c>
      <c r="G645">
        <v>32</v>
      </c>
      <c r="H645" t="s">
        <v>847</v>
      </c>
      <c r="I645" t="s">
        <v>34</v>
      </c>
      <c r="J645">
        <v>63</v>
      </c>
      <c r="K645">
        <v>29</v>
      </c>
      <c r="L645">
        <v>3.3</v>
      </c>
      <c r="M645" t="s">
        <v>18</v>
      </c>
      <c r="N645" s="2">
        <v>1026.8699999999999</v>
      </c>
      <c r="O645" s="2" t="str">
        <f>IF(EHR_Export[[#This Row],[Arrival Time]]&lt;=TIME(7,0,0), "Night", IF(EHR_Export[[#This Row],[Arrival Time]]&lt;TIME(15,0,0), "Day", "Evening"))</f>
        <v>Evening</v>
      </c>
      <c r="P645" cm="1">
        <f t="array" ref="P6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646" spans="1:16" x14ac:dyDescent="0.25">
      <c r="A646" t="s">
        <v>1215</v>
      </c>
      <c r="B646" s="1">
        <v>46094</v>
      </c>
      <c r="C646" s="4">
        <v>0.93055555555555558</v>
      </c>
      <c r="D646" t="s">
        <v>28</v>
      </c>
      <c r="E646" t="s">
        <v>23</v>
      </c>
      <c r="F646" t="s">
        <v>394</v>
      </c>
      <c r="G646">
        <v>35</v>
      </c>
      <c r="H646" t="s">
        <v>847</v>
      </c>
      <c r="I646" t="s">
        <v>13</v>
      </c>
      <c r="J646">
        <v>64</v>
      </c>
      <c r="K646">
        <v>43</v>
      </c>
      <c r="L646">
        <v>2.4</v>
      </c>
      <c r="M646" t="s">
        <v>14</v>
      </c>
      <c r="N646" s="2">
        <v>978.05</v>
      </c>
      <c r="O646" s="2" t="str">
        <f>IF(EHR_Export[[#This Row],[Arrival Time]]&lt;=TIME(7,0,0), "Night", IF(EHR_Export[[#This Row],[Arrival Time]]&lt;TIME(15,0,0), "Day", "Evening"))</f>
        <v>Evening</v>
      </c>
      <c r="P646" cm="1">
        <f t="array" ref="P6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647" spans="1:16" x14ac:dyDescent="0.25">
      <c r="A647" t="s">
        <v>1266</v>
      </c>
      <c r="B647" s="1">
        <v>46094</v>
      </c>
      <c r="C647" s="4">
        <v>0.44444444444444442</v>
      </c>
      <c r="D647" t="s">
        <v>28</v>
      </c>
      <c r="E647" t="s">
        <v>23</v>
      </c>
      <c r="F647" t="s">
        <v>445</v>
      </c>
      <c r="G647">
        <v>33</v>
      </c>
      <c r="H647" t="s">
        <v>847</v>
      </c>
      <c r="I647" t="s">
        <v>25</v>
      </c>
      <c r="J647">
        <v>46</v>
      </c>
      <c r="K647">
        <v>10</v>
      </c>
      <c r="L647">
        <v>3.1</v>
      </c>
      <c r="M647" t="s">
        <v>14</v>
      </c>
      <c r="N647" s="2">
        <v>1059.4100000000001</v>
      </c>
      <c r="O647" s="2" t="str">
        <f>IF(EHR_Export[[#This Row],[Arrival Time]]&lt;=TIME(7,0,0), "Night", IF(EHR_Export[[#This Row],[Arrival Time]]&lt;TIME(15,0,0), "Day", "Evening"))</f>
        <v>Day</v>
      </c>
      <c r="P647" cm="1">
        <f t="array" ref="P6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48" spans="1:16" x14ac:dyDescent="0.25">
      <c r="A648" t="s">
        <v>1440</v>
      </c>
      <c r="B648" s="1">
        <v>46094</v>
      </c>
      <c r="C648" s="4">
        <v>0.55138888888888893</v>
      </c>
      <c r="D648" t="s">
        <v>28</v>
      </c>
      <c r="E648" t="s">
        <v>23</v>
      </c>
      <c r="F648" t="s">
        <v>619</v>
      </c>
      <c r="G648">
        <v>82</v>
      </c>
      <c r="H648" t="s">
        <v>847</v>
      </c>
      <c r="I648" t="s">
        <v>25</v>
      </c>
      <c r="J648">
        <v>75</v>
      </c>
      <c r="K648">
        <v>17</v>
      </c>
      <c r="L648">
        <v>3.8</v>
      </c>
      <c r="M648" t="s">
        <v>14</v>
      </c>
      <c r="N648" s="2">
        <v>959.63</v>
      </c>
      <c r="O648" s="2" t="str">
        <f>IF(EHR_Export[[#This Row],[Arrival Time]]&lt;=TIME(7,0,0), "Night", IF(EHR_Export[[#This Row],[Arrival Time]]&lt;TIME(15,0,0), "Day", "Evening"))</f>
        <v>Day</v>
      </c>
      <c r="P648" cm="1">
        <f t="array" ref="P6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49" spans="1:16" x14ac:dyDescent="0.25">
      <c r="A649" t="s">
        <v>1450</v>
      </c>
      <c r="B649" s="1">
        <v>46094</v>
      </c>
      <c r="C649" s="4">
        <v>0.48194444444444445</v>
      </c>
      <c r="D649" t="s">
        <v>126</v>
      </c>
      <c r="E649" t="s">
        <v>46</v>
      </c>
      <c r="F649" t="s">
        <v>629</v>
      </c>
      <c r="G649">
        <v>57</v>
      </c>
      <c r="H649" t="s">
        <v>849</v>
      </c>
      <c r="I649" t="s">
        <v>38</v>
      </c>
      <c r="J649">
        <v>24</v>
      </c>
      <c r="K649">
        <v>64</v>
      </c>
      <c r="L649">
        <v>2.9</v>
      </c>
      <c r="M649" t="s">
        <v>14</v>
      </c>
      <c r="N649" s="2">
        <v>2202.1</v>
      </c>
      <c r="O649" s="2" t="str">
        <f>IF(EHR_Export[[#This Row],[Arrival Time]]&lt;=TIME(7,0,0), "Night", IF(EHR_Export[[#This Row],[Arrival Time]]&lt;TIME(15,0,0), "Day", "Evening"))</f>
        <v>Day</v>
      </c>
      <c r="P649" cm="1">
        <f t="array" ref="P6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50" spans="1:16" x14ac:dyDescent="0.25">
      <c r="A650" t="s">
        <v>1482</v>
      </c>
      <c r="B650" s="1">
        <v>46094</v>
      </c>
      <c r="C650" s="4">
        <v>0.70486111111111116</v>
      </c>
      <c r="D650" t="s">
        <v>126</v>
      </c>
      <c r="E650" t="s">
        <v>46</v>
      </c>
      <c r="F650" t="s">
        <v>661</v>
      </c>
      <c r="G650">
        <v>39</v>
      </c>
      <c r="H650" t="s">
        <v>849</v>
      </c>
      <c r="I650" t="s">
        <v>34</v>
      </c>
      <c r="J650">
        <v>26</v>
      </c>
      <c r="K650">
        <v>10</v>
      </c>
      <c r="M650" t="s">
        <v>14</v>
      </c>
      <c r="N650" s="2">
        <v>1484.97</v>
      </c>
      <c r="O650" s="2" t="str">
        <f>IF(EHR_Export[[#This Row],[Arrival Time]]&lt;=TIME(7,0,0), "Night", IF(EHR_Export[[#This Row],[Arrival Time]]&lt;TIME(15,0,0), "Day", "Evening"))</f>
        <v>Evening</v>
      </c>
      <c r="P650" cm="1">
        <f t="array" ref="P6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51" spans="1:16" x14ac:dyDescent="0.25">
      <c r="A651" t="s">
        <v>1497</v>
      </c>
      <c r="B651" s="1">
        <v>46094</v>
      </c>
      <c r="C651" s="4">
        <v>0.56180555555555556</v>
      </c>
      <c r="D651" t="s">
        <v>48</v>
      </c>
      <c r="E651" t="s">
        <v>42</v>
      </c>
      <c r="F651" t="s">
        <v>676</v>
      </c>
      <c r="G651">
        <v>51</v>
      </c>
      <c r="H651" t="s">
        <v>849</v>
      </c>
      <c r="I651" t="s">
        <v>38</v>
      </c>
      <c r="J651">
        <v>62</v>
      </c>
      <c r="K651">
        <v>65</v>
      </c>
      <c r="L651">
        <v>3.5</v>
      </c>
      <c r="M651" t="s">
        <v>14</v>
      </c>
      <c r="N651" s="2">
        <v>1452.77</v>
      </c>
      <c r="O651" s="2" t="str">
        <f>IF(EHR_Export[[#This Row],[Arrival Time]]&lt;=TIME(7,0,0), "Night", IF(EHR_Export[[#This Row],[Arrival Time]]&lt;TIME(15,0,0), "Day", "Evening"))</f>
        <v>Day</v>
      </c>
      <c r="P651" cm="1">
        <f t="array" ref="P6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52" spans="1:16" x14ac:dyDescent="0.25">
      <c r="A652" t="s">
        <v>1506</v>
      </c>
      <c r="B652" s="1">
        <v>46094</v>
      </c>
      <c r="C652" s="4">
        <v>0.54097222222222219</v>
      </c>
      <c r="D652" t="s">
        <v>48</v>
      </c>
      <c r="E652" t="s">
        <v>42</v>
      </c>
      <c r="F652" t="s">
        <v>685</v>
      </c>
      <c r="G652">
        <v>29</v>
      </c>
      <c r="H652" t="s">
        <v>849</v>
      </c>
      <c r="I652" t="s">
        <v>34</v>
      </c>
      <c r="J652">
        <v>47</v>
      </c>
      <c r="K652">
        <v>10</v>
      </c>
      <c r="L652">
        <v>3.9</v>
      </c>
      <c r="M652" t="s">
        <v>14</v>
      </c>
      <c r="N652" s="2">
        <v>1477.34</v>
      </c>
      <c r="O652" s="2" t="str">
        <f>IF(EHR_Export[[#This Row],[Arrival Time]]&lt;=TIME(7,0,0), "Night", IF(EHR_Export[[#This Row],[Arrival Time]]&lt;TIME(15,0,0), "Day", "Evening"))</f>
        <v>Day</v>
      </c>
      <c r="P652" cm="1">
        <f t="array" ref="P6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53" spans="1:16" x14ac:dyDescent="0.25">
      <c r="A653" t="s">
        <v>869</v>
      </c>
      <c r="B653" s="1">
        <v>46095</v>
      </c>
      <c r="C653" s="4">
        <v>0.72569444444444442</v>
      </c>
      <c r="D653" t="s">
        <v>48</v>
      </c>
      <c r="E653" t="s">
        <v>42</v>
      </c>
      <c r="F653" t="s">
        <v>43</v>
      </c>
      <c r="G653">
        <v>28</v>
      </c>
      <c r="H653" t="s">
        <v>847</v>
      </c>
      <c r="I653" t="s">
        <v>25</v>
      </c>
      <c r="J653">
        <v>78</v>
      </c>
      <c r="K653">
        <v>23</v>
      </c>
      <c r="L653">
        <v>3.9</v>
      </c>
      <c r="M653" t="s">
        <v>14</v>
      </c>
      <c r="N653" s="2">
        <v>1739.11</v>
      </c>
      <c r="O653" s="2" t="str">
        <f>IF(EHR_Export[[#This Row],[Arrival Time]]&lt;=TIME(7,0,0), "Night", IF(EHR_Export[[#This Row],[Arrival Time]]&lt;TIME(15,0,0), "Day", "Evening"))</f>
        <v>Evening</v>
      </c>
      <c r="P653" cm="1">
        <f t="array" ref="P6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54" spans="1:16" x14ac:dyDescent="0.25">
      <c r="A654" t="s">
        <v>1087</v>
      </c>
      <c r="B654" s="1">
        <v>46095</v>
      </c>
      <c r="C654" s="4">
        <v>0.82291666666666663</v>
      </c>
      <c r="D654" t="s">
        <v>28</v>
      </c>
      <c r="E654" t="s">
        <v>23</v>
      </c>
      <c r="F654" t="s">
        <v>266</v>
      </c>
      <c r="G654">
        <v>74</v>
      </c>
      <c r="H654" t="s">
        <v>849</v>
      </c>
      <c r="I654" t="s">
        <v>13</v>
      </c>
      <c r="J654">
        <v>92</v>
      </c>
      <c r="K654">
        <v>10</v>
      </c>
      <c r="L654">
        <v>2</v>
      </c>
      <c r="M654" t="s">
        <v>14</v>
      </c>
      <c r="N654" s="2">
        <v>1173.01</v>
      </c>
      <c r="O654" s="2" t="str">
        <f>IF(EHR_Export[[#This Row],[Arrival Time]]&lt;=TIME(7,0,0), "Night", IF(EHR_Export[[#This Row],[Arrival Time]]&lt;TIME(15,0,0), "Day", "Evening"))</f>
        <v>Evening</v>
      </c>
      <c r="P654" cm="1">
        <f t="array" ref="P6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655" spans="1:16" x14ac:dyDescent="0.25">
      <c r="A655" t="s">
        <v>1098</v>
      </c>
      <c r="B655" s="1">
        <v>46095</v>
      </c>
      <c r="C655" s="4">
        <v>0.64097222222222228</v>
      </c>
      <c r="D655" t="s">
        <v>28</v>
      </c>
      <c r="E655" t="s">
        <v>23</v>
      </c>
      <c r="F655" t="s">
        <v>277</v>
      </c>
      <c r="G655">
        <v>8</v>
      </c>
      <c r="H655" t="s">
        <v>849</v>
      </c>
      <c r="I655" t="s">
        <v>25</v>
      </c>
      <c r="J655">
        <v>60</v>
      </c>
      <c r="K655">
        <v>66</v>
      </c>
      <c r="L655">
        <v>3.1</v>
      </c>
      <c r="M655" t="s">
        <v>14</v>
      </c>
      <c r="N655" s="2">
        <v>907.84</v>
      </c>
      <c r="O655" s="2" t="str">
        <f>IF(EHR_Export[[#This Row],[Arrival Time]]&lt;=TIME(7,0,0), "Night", IF(EHR_Export[[#This Row],[Arrival Time]]&lt;TIME(15,0,0), "Day", "Evening"))</f>
        <v>Evening</v>
      </c>
      <c r="P655" cm="1">
        <f t="array" ref="P6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656" spans="1:16" x14ac:dyDescent="0.25">
      <c r="A656" t="s">
        <v>1216</v>
      </c>
      <c r="B656" s="1">
        <v>46095</v>
      </c>
      <c r="C656" s="4">
        <v>0.54236111111111107</v>
      </c>
      <c r="D656" t="s">
        <v>21</v>
      </c>
      <c r="E656" t="s">
        <v>53</v>
      </c>
      <c r="F656" t="s">
        <v>395</v>
      </c>
      <c r="G656">
        <v>51</v>
      </c>
      <c r="H656" t="s">
        <v>847</v>
      </c>
      <c r="I656" t="s">
        <v>25</v>
      </c>
      <c r="J656">
        <v>35</v>
      </c>
      <c r="K656">
        <v>38</v>
      </c>
      <c r="L656">
        <v>4.0999999999999996</v>
      </c>
      <c r="M656" t="s">
        <v>14</v>
      </c>
      <c r="N656" s="2">
        <v>904.35</v>
      </c>
      <c r="O656" s="2" t="str">
        <f>IF(EHR_Export[[#This Row],[Arrival Time]]&lt;=TIME(7,0,0), "Night", IF(EHR_Export[[#This Row],[Arrival Time]]&lt;TIME(15,0,0), "Day", "Evening"))</f>
        <v>Day</v>
      </c>
      <c r="P656" cm="1">
        <f t="array" ref="P6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57" spans="1:16" x14ac:dyDescent="0.25">
      <c r="A657" t="s">
        <v>1351</v>
      </c>
      <c r="B657" s="1">
        <v>46095</v>
      </c>
      <c r="C657" s="4">
        <v>0.35416666666666669</v>
      </c>
      <c r="D657" t="s">
        <v>48</v>
      </c>
      <c r="E657" t="s">
        <v>42</v>
      </c>
      <c r="F657" t="s">
        <v>530</v>
      </c>
      <c r="G657">
        <v>74</v>
      </c>
      <c r="H657" t="s">
        <v>849</v>
      </c>
      <c r="I657" t="s">
        <v>34</v>
      </c>
      <c r="J657">
        <v>71</v>
      </c>
      <c r="K657">
        <v>10</v>
      </c>
      <c r="L657">
        <v>1.8</v>
      </c>
      <c r="M657" t="s">
        <v>18</v>
      </c>
      <c r="N657" s="2">
        <v>1397.42</v>
      </c>
      <c r="O657" s="2" t="str">
        <f>IF(EHR_Export[[#This Row],[Arrival Time]]&lt;=TIME(7,0,0), "Night", IF(EHR_Export[[#This Row],[Arrival Time]]&lt;TIME(15,0,0), "Day", "Evening"))</f>
        <v>Day</v>
      </c>
      <c r="P657" cm="1">
        <f t="array" ref="P6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58" spans="1:16" x14ac:dyDescent="0.25">
      <c r="A658" t="s">
        <v>869</v>
      </c>
      <c r="B658" s="1">
        <v>46095</v>
      </c>
      <c r="C658" s="4">
        <v>0.72569444444444442</v>
      </c>
      <c r="D658" t="s">
        <v>48</v>
      </c>
      <c r="E658" t="s">
        <v>42</v>
      </c>
      <c r="F658" t="s">
        <v>43</v>
      </c>
      <c r="G658">
        <v>28</v>
      </c>
      <c r="H658" t="s">
        <v>847</v>
      </c>
      <c r="I658" t="s">
        <v>25</v>
      </c>
      <c r="J658">
        <v>78</v>
      </c>
      <c r="K658">
        <v>23</v>
      </c>
      <c r="L658">
        <v>3.9</v>
      </c>
      <c r="M658" t="s">
        <v>14</v>
      </c>
      <c r="N658" s="2">
        <v>1739.11</v>
      </c>
      <c r="O658" s="2" t="str">
        <f>IF(EHR_Export[[#This Row],[Arrival Time]]&lt;=TIME(7,0,0), "Night", IF(EHR_Export[[#This Row],[Arrival Time]]&lt;TIME(15,0,0), "Day", "Evening"))</f>
        <v>Evening</v>
      </c>
      <c r="P658" cm="1">
        <f t="array" ref="P6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59" spans="1:16" x14ac:dyDescent="0.25">
      <c r="A659" t="s">
        <v>1466</v>
      </c>
      <c r="B659" s="1">
        <v>46095</v>
      </c>
      <c r="C659" s="4">
        <v>0.3888888888888889</v>
      </c>
      <c r="D659" t="s">
        <v>126</v>
      </c>
      <c r="E659" t="s">
        <v>46</v>
      </c>
      <c r="F659" t="s">
        <v>645</v>
      </c>
      <c r="G659">
        <v>21</v>
      </c>
      <c r="H659" t="s">
        <v>849</v>
      </c>
      <c r="I659" t="s">
        <v>34</v>
      </c>
      <c r="J659">
        <v>43</v>
      </c>
      <c r="K659">
        <v>10</v>
      </c>
      <c r="L659">
        <v>3.2</v>
      </c>
      <c r="M659" t="s">
        <v>14</v>
      </c>
      <c r="N659" s="2">
        <v>1504.82</v>
      </c>
      <c r="O659" s="2" t="str">
        <f>IF(EHR_Export[[#This Row],[Arrival Time]]&lt;=TIME(7,0,0), "Night", IF(EHR_Export[[#This Row],[Arrival Time]]&lt;TIME(15,0,0), "Day", "Evening"))</f>
        <v>Day</v>
      </c>
      <c r="P659" cm="1">
        <f t="array" ref="P6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60" spans="1:16" x14ac:dyDescent="0.25">
      <c r="A660" t="s">
        <v>1483</v>
      </c>
      <c r="B660" s="1">
        <v>46095</v>
      </c>
      <c r="C660" s="4">
        <v>0.60555555555555551</v>
      </c>
      <c r="D660" t="s">
        <v>58</v>
      </c>
      <c r="E660" t="s">
        <v>842</v>
      </c>
      <c r="F660" t="s">
        <v>662</v>
      </c>
      <c r="G660">
        <v>54</v>
      </c>
      <c r="H660" t="s">
        <v>847</v>
      </c>
      <c r="I660" t="s">
        <v>25</v>
      </c>
      <c r="J660">
        <v>61</v>
      </c>
      <c r="K660">
        <v>88</v>
      </c>
      <c r="L660">
        <v>4.2</v>
      </c>
      <c r="M660" t="s">
        <v>14</v>
      </c>
      <c r="N660" s="2">
        <v>3780.23</v>
      </c>
      <c r="O660" s="2" t="str">
        <f>IF(EHR_Export[[#This Row],[Arrival Time]]&lt;=TIME(7,0,0), "Night", IF(EHR_Export[[#This Row],[Arrival Time]]&lt;TIME(15,0,0), "Day", "Evening"))</f>
        <v>Day</v>
      </c>
      <c r="P660" cm="1">
        <f t="array" ref="P6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61" spans="1:16" x14ac:dyDescent="0.25">
      <c r="A661" t="s">
        <v>1608</v>
      </c>
      <c r="B661" s="1">
        <v>46095</v>
      </c>
      <c r="C661" s="4">
        <v>0.23194444444444445</v>
      </c>
      <c r="D661" t="s">
        <v>28</v>
      </c>
      <c r="E661" t="s">
        <v>23</v>
      </c>
      <c r="F661" t="s">
        <v>787</v>
      </c>
      <c r="G661">
        <v>53</v>
      </c>
      <c r="H661" t="s">
        <v>849</v>
      </c>
      <c r="I661" t="s">
        <v>25</v>
      </c>
      <c r="J661">
        <v>26</v>
      </c>
      <c r="K661">
        <v>14</v>
      </c>
      <c r="L661">
        <v>3.4</v>
      </c>
      <c r="M661" t="s">
        <v>14</v>
      </c>
      <c r="N661" s="2">
        <v>1068.22</v>
      </c>
      <c r="O661" s="2" t="str">
        <f>IF(EHR_Export[[#This Row],[Arrival Time]]&lt;=TIME(7,0,0), "Night", IF(EHR_Export[[#This Row],[Arrival Time]]&lt;TIME(15,0,0), "Day", "Evening"))</f>
        <v>Night</v>
      </c>
      <c r="P661" cm="1">
        <f t="array" ref="P6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62" spans="1:16" x14ac:dyDescent="0.25">
      <c r="A662" t="s">
        <v>1629</v>
      </c>
      <c r="B662" s="1">
        <v>46095</v>
      </c>
      <c r="C662" s="4">
        <v>0.34097222222222223</v>
      </c>
      <c r="D662" t="s">
        <v>28</v>
      </c>
      <c r="E662" t="s">
        <v>23</v>
      </c>
      <c r="F662" t="s">
        <v>808</v>
      </c>
      <c r="G662">
        <v>81</v>
      </c>
      <c r="H662" t="s">
        <v>849</v>
      </c>
      <c r="I662" t="s">
        <v>34</v>
      </c>
      <c r="J662">
        <v>50</v>
      </c>
      <c r="K662">
        <v>43</v>
      </c>
      <c r="L662">
        <v>3.5</v>
      </c>
      <c r="M662" t="s">
        <v>14</v>
      </c>
      <c r="N662" s="2">
        <v>1278.6300000000001</v>
      </c>
      <c r="O662" s="2" t="str">
        <f>IF(EHR_Export[[#This Row],[Arrival Time]]&lt;=TIME(7,0,0), "Night", IF(EHR_Export[[#This Row],[Arrival Time]]&lt;TIME(15,0,0), "Day", "Evening"))</f>
        <v>Day</v>
      </c>
      <c r="P662" cm="1">
        <f t="array" ref="P6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63" spans="1:16" x14ac:dyDescent="0.25">
      <c r="A663" t="s">
        <v>914</v>
      </c>
      <c r="B663" s="1">
        <v>46096</v>
      </c>
      <c r="C663" s="4">
        <v>0.87847222222222221</v>
      </c>
      <c r="D663" t="s">
        <v>48</v>
      </c>
      <c r="E663" t="s">
        <v>42</v>
      </c>
      <c r="F663" t="s">
        <v>92</v>
      </c>
      <c r="G663">
        <v>70</v>
      </c>
      <c r="H663" t="s">
        <v>847</v>
      </c>
      <c r="I663" t="s">
        <v>34</v>
      </c>
      <c r="J663">
        <v>55</v>
      </c>
      <c r="K663">
        <v>10</v>
      </c>
      <c r="L663">
        <v>3.2</v>
      </c>
      <c r="M663" t="s">
        <v>14</v>
      </c>
      <c r="N663" s="2">
        <v>683.01</v>
      </c>
      <c r="O663" s="2" t="str">
        <f>IF(EHR_Export[[#This Row],[Arrival Time]]&lt;=TIME(7,0,0), "Night", IF(EHR_Export[[#This Row],[Arrival Time]]&lt;TIME(15,0,0), "Day", "Evening"))</f>
        <v>Evening</v>
      </c>
      <c r="P663" cm="1">
        <f t="array" ref="P6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64" spans="1:16" x14ac:dyDescent="0.25">
      <c r="A664" t="s">
        <v>942</v>
      </c>
      <c r="B664" s="1">
        <v>46096</v>
      </c>
      <c r="C664" s="4">
        <v>0.67013888888888884</v>
      </c>
      <c r="D664" t="s">
        <v>28</v>
      </c>
      <c r="E664" t="s">
        <v>23</v>
      </c>
      <c r="F664" t="s">
        <v>120</v>
      </c>
      <c r="G664">
        <v>68</v>
      </c>
      <c r="H664" t="s">
        <v>847</v>
      </c>
      <c r="I664" t="s">
        <v>34</v>
      </c>
      <c r="J664">
        <v>81</v>
      </c>
      <c r="K664">
        <v>70</v>
      </c>
      <c r="L664">
        <v>3.4</v>
      </c>
      <c r="M664" t="s">
        <v>14</v>
      </c>
      <c r="N664" s="2">
        <v>807.5</v>
      </c>
      <c r="O664" s="2" t="str">
        <f>IF(EHR_Export[[#This Row],[Arrival Time]]&lt;=TIME(7,0,0), "Night", IF(EHR_Export[[#This Row],[Arrival Time]]&lt;TIME(15,0,0), "Day", "Evening"))</f>
        <v>Evening</v>
      </c>
      <c r="P664" cm="1">
        <f t="array" ref="P6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65" spans="1:16" x14ac:dyDescent="0.25">
      <c r="A665" t="s">
        <v>945</v>
      </c>
      <c r="B665" s="1">
        <v>46096</v>
      </c>
      <c r="C665" s="4">
        <v>0.50972222222222219</v>
      </c>
      <c r="D665" t="s">
        <v>48</v>
      </c>
      <c r="E665" t="s">
        <v>42</v>
      </c>
      <c r="F665" t="s">
        <v>123</v>
      </c>
      <c r="G665">
        <v>72</v>
      </c>
      <c r="H665" t="s">
        <v>849</v>
      </c>
      <c r="I665" t="s">
        <v>13</v>
      </c>
      <c r="J665">
        <v>75</v>
      </c>
      <c r="K665">
        <v>44</v>
      </c>
      <c r="L665">
        <v>3.1</v>
      </c>
      <c r="M665" t="s">
        <v>14</v>
      </c>
      <c r="N665" s="2">
        <v>1634.17</v>
      </c>
      <c r="O665" s="2" t="str">
        <f>IF(EHR_Export[[#This Row],[Arrival Time]]&lt;=TIME(7,0,0), "Night", IF(EHR_Export[[#This Row],[Arrival Time]]&lt;TIME(15,0,0), "Day", "Evening"))</f>
        <v>Day</v>
      </c>
      <c r="P665" cm="1">
        <f t="array" ref="P6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66" spans="1:16" x14ac:dyDescent="0.25">
      <c r="A666" t="s">
        <v>1005</v>
      </c>
      <c r="B666" s="1">
        <v>46096</v>
      </c>
      <c r="C666" s="4">
        <v>0.75902777777777775</v>
      </c>
      <c r="D666" t="s">
        <v>58</v>
      </c>
      <c r="E666" t="s">
        <v>842</v>
      </c>
      <c r="F666" t="s">
        <v>184</v>
      </c>
      <c r="G666">
        <v>16</v>
      </c>
      <c r="H666" t="s">
        <v>849</v>
      </c>
      <c r="I666" t="s">
        <v>38</v>
      </c>
      <c r="J666">
        <v>130</v>
      </c>
      <c r="K666">
        <v>51</v>
      </c>
      <c r="L666">
        <v>1.4</v>
      </c>
      <c r="M666" t="s">
        <v>14</v>
      </c>
      <c r="N666" s="2">
        <v>2588.41</v>
      </c>
      <c r="O666" s="2" t="str">
        <f>IF(EHR_Export[[#This Row],[Arrival Time]]&lt;=TIME(7,0,0), "Night", IF(EHR_Export[[#This Row],[Arrival Time]]&lt;TIME(15,0,0), "Day", "Evening"))</f>
        <v>Evening</v>
      </c>
      <c r="P666" cm="1">
        <f t="array" ref="P6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67" spans="1:16" x14ac:dyDescent="0.25">
      <c r="A667" t="s">
        <v>1029</v>
      </c>
      <c r="B667" s="1">
        <v>46096</v>
      </c>
      <c r="C667" s="4">
        <v>0.67083333333333328</v>
      </c>
      <c r="D667" t="s">
        <v>58</v>
      </c>
      <c r="E667" t="s">
        <v>842</v>
      </c>
      <c r="F667" t="s">
        <v>208</v>
      </c>
      <c r="G667">
        <v>70</v>
      </c>
      <c r="H667" t="s">
        <v>849</v>
      </c>
      <c r="I667" t="s">
        <v>38</v>
      </c>
      <c r="J667">
        <v>97</v>
      </c>
      <c r="K667">
        <v>95</v>
      </c>
      <c r="M667" t="s">
        <v>14</v>
      </c>
      <c r="N667" s="2">
        <v>4747.8100000000004</v>
      </c>
      <c r="O667" s="2" t="str">
        <f>IF(EHR_Export[[#This Row],[Arrival Time]]&lt;=TIME(7,0,0), "Night", IF(EHR_Export[[#This Row],[Arrival Time]]&lt;TIME(15,0,0), "Day", "Evening"))</f>
        <v>Evening</v>
      </c>
      <c r="P667" cm="1">
        <f t="array" ref="P6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68" spans="1:16" x14ac:dyDescent="0.25">
      <c r="A668" t="s">
        <v>1041</v>
      </c>
      <c r="B668" s="1">
        <v>46096</v>
      </c>
      <c r="C668" s="4">
        <v>0.8520833333333333</v>
      </c>
      <c r="D668" t="s">
        <v>28</v>
      </c>
      <c r="E668" t="s">
        <v>23</v>
      </c>
      <c r="F668" t="s">
        <v>220</v>
      </c>
      <c r="G668">
        <v>58</v>
      </c>
      <c r="H668" t="s">
        <v>847</v>
      </c>
      <c r="I668" t="s">
        <v>34</v>
      </c>
      <c r="J668">
        <v>73</v>
      </c>
      <c r="K668">
        <v>47</v>
      </c>
      <c r="L668">
        <v>3.6</v>
      </c>
      <c r="M668" t="s">
        <v>14</v>
      </c>
      <c r="N668" s="2">
        <v>1154.5</v>
      </c>
      <c r="O668" s="2" t="str">
        <f>IF(EHR_Export[[#This Row],[Arrival Time]]&lt;=TIME(7,0,0), "Night", IF(EHR_Export[[#This Row],[Arrival Time]]&lt;TIME(15,0,0), "Day", "Evening"))</f>
        <v>Evening</v>
      </c>
      <c r="P668" cm="1">
        <f t="array" ref="P6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69" spans="1:16" x14ac:dyDescent="0.25">
      <c r="A669" t="s">
        <v>1052</v>
      </c>
      <c r="B669" s="1">
        <v>46096</v>
      </c>
      <c r="C669" s="4">
        <v>0.83263888888888893</v>
      </c>
      <c r="D669" t="s">
        <v>28</v>
      </c>
      <c r="E669" t="s">
        <v>23</v>
      </c>
      <c r="F669" t="s">
        <v>231</v>
      </c>
      <c r="G669">
        <v>51</v>
      </c>
      <c r="H669" t="s">
        <v>849</v>
      </c>
      <c r="I669" t="s">
        <v>25</v>
      </c>
      <c r="J669">
        <v>63</v>
      </c>
      <c r="K669">
        <v>34</v>
      </c>
      <c r="L669">
        <v>3.4</v>
      </c>
      <c r="M669" t="s">
        <v>14</v>
      </c>
      <c r="N669" s="2">
        <v>724.45</v>
      </c>
      <c r="O669" s="2" t="str">
        <f>IF(EHR_Export[[#This Row],[Arrival Time]]&lt;=TIME(7,0,0), "Night", IF(EHR_Export[[#This Row],[Arrival Time]]&lt;TIME(15,0,0), "Day", "Evening"))</f>
        <v>Evening</v>
      </c>
      <c r="P669" cm="1">
        <f t="array" ref="P6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70" spans="1:16" x14ac:dyDescent="0.25">
      <c r="A670" t="s">
        <v>1097</v>
      </c>
      <c r="B670" s="1">
        <v>46096</v>
      </c>
      <c r="C670" s="4">
        <v>0.77083333333333337</v>
      </c>
      <c r="D670" t="s">
        <v>21</v>
      </c>
      <c r="E670" t="s">
        <v>53</v>
      </c>
      <c r="F670" t="s">
        <v>276</v>
      </c>
      <c r="G670">
        <v>66</v>
      </c>
      <c r="H670" t="s">
        <v>849</v>
      </c>
      <c r="I670" t="s">
        <v>25</v>
      </c>
      <c r="J670">
        <v>57</v>
      </c>
      <c r="K670">
        <v>42</v>
      </c>
      <c r="L670">
        <v>4</v>
      </c>
      <c r="M670" t="s">
        <v>14</v>
      </c>
      <c r="N670" s="2">
        <v>762.93</v>
      </c>
      <c r="O670" s="2" t="str">
        <f>IF(EHR_Export[[#This Row],[Arrival Time]]&lt;=TIME(7,0,0), "Night", IF(EHR_Export[[#This Row],[Arrival Time]]&lt;TIME(15,0,0), "Day", "Evening"))</f>
        <v>Evening</v>
      </c>
      <c r="P670" cm="1">
        <f t="array" ref="P6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71" spans="1:16" x14ac:dyDescent="0.25">
      <c r="A671" t="s">
        <v>1347</v>
      </c>
      <c r="B671" s="1">
        <v>46096</v>
      </c>
      <c r="C671" s="4">
        <v>0.48541666666666666</v>
      </c>
      <c r="D671" t="s">
        <v>126</v>
      </c>
      <c r="E671" t="s">
        <v>46</v>
      </c>
      <c r="F671" t="s">
        <v>526</v>
      </c>
      <c r="G671">
        <v>70</v>
      </c>
      <c r="H671" t="s">
        <v>849</v>
      </c>
      <c r="I671" t="s">
        <v>34</v>
      </c>
      <c r="J671">
        <v>45</v>
      </c>
      <c r="K671">
        <v>29</v>
      </c>
      <c r="L671">
        <v>2.6</v>
      </c>
      <c r="M671" t="s">
        <v>14</v>
      </c>
      <c r="N671" s="2">
        <v>2430.63</v>
      </c>
      <c r="O671" s="2" t="str">
        <f>IF(EHR_Export[[#This Row],[Arrival Time]]&lt;=TIME(7,0,0), "Night", IF(EHR_Export[[#This Row],[Arrival Time]]&lt;TIME(15,0,0), "Day", "Evening"))</f>
        <v>Day</v>
      </c>
      <c r="P671" cm="1">
        <f t="array" ref="P6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672" spans="1:16" x14ac:dyDescent="0.25">
      <c r="A672" t="s">
        <v>1502</v>
      </c>
      <c r="B672" s="1">
        <v>46096</v>
      </c>
      <c r="C672" s="4">
        <v>0.5541666666666667</v>
      </c>
      <c r="D672" t="s">
        <v>28</v>
      </c>
      <c r="E672" t="s">
        <v>23</v>
      </c>
      <c r="F672" t="s">
        <v>681</v>
      </c>
      <c r="G672">
        <v>20</v>
      </c>
      <c r="H672" t="s">
        <v>847</v>
      </c>
      <c r="I672" t="s">
        <v>34</v>
      </c>
      <c r="J672">
        <v>71</v>
      </c>
      <c r="K672">
        <v>31</v>
      </c>
      <c r="L672">
        <v>2.2999999999999998</v>
      </c>
      <c r="M672" t="s">
        <v>14</v>
      </c>
      <c r="N672" s="2">
        <v>1193.29</v>
      </c>
      <c r="O672" s="2" t="str">
        <f>IF(EHR_Export[[#This Row],[Arrival Time]]&lt;=TIME(7,0,0), "Night", IF(EHR_Export[[#This Row],[Arrival Time]]&lt;TIME(15,0,0), "Day", "Evening"))</f>
        <v>Day</v>
      </c>
      <c r="P672" cm="1">
        <f t="array" ref="P6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73" spans="1:16" x14ac:dyDescent="0.25">
      <c r="A673" t="s">
        <v>1511</v>
      </c>
      <c r="B673" s="1">
        <v>46096</v>
      </c>
      <c r="C673" s="4">
        <v>0.91527777777777775</v>
      </c>
      <c r="D673" t="s">
        <v>28</v>
      </c>
      <c r="E673" t="s">
        <v>23</v>
      </c>
      <c r="F673" t="s">
        <v>690</v>
      </c>
      <c r="G673">
        <v>72</v>
      </c>
      <c r="H673" t="s">
        <v>849</v>
      </c>
      <c r="I673" t="s">
        <v>34</v>
      </c>
      <c r="J673">
        <v>92</v>
      </c>
      <c r="K673">
        <v>49</v>
      </c>
      <c r="L673">
        <v>2.1</v>
      </c>
      <c r="M673" t="s">
        <v>14</v>
      </c>
      <c r="N673" s="2">
        <v>728.55</v>
      </c>
      <c r="O673" s="2" t="str">
        <f>IF(EHR_Export[[#This Row],[Arrival Time]]&lt;=TIME(7,0,0), "Night", IF(EHR_Export[[#This Row],[Arrival Time]]&lt;TIME(15,0,0), "Day", "Evening"))</f>
        <v>Evening</v>
      </c>
      <c r="P673" cm="1">
        <f t="array" ref="P6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74" spans="1:16" x14ac:dyDescent="0.25">
      <c r="A674" t="s">
        <v>905</v>
      </c>
      <c r="B674" s="1">
        <v>46097</v>
      </c>
      <c r="C674" s="4">
        <v>0.66805555555555551</v>
      </c>
      <c r="D674" t="s">
        <v>28</v>
      </c>
      <c r="E674" t="s">
        <v>23</v>
      </c>
      <c r="F674" t="s">
        <v>83</v>
      </c>
      <c r="G674">
        <v>12</v>
      </c>
      <c r="H674" t="s">
        <v>847</v>
      </c>
      <c r="I674" t="s">
        <v>38</v>
      </c>
      <c r="J674">
        <v>66</v>
      </c>
      <c r="K674">
        <v>10</v>
      </c>
      <c r="L674">
        <v>3.2</v>
      </c>
      <c r="M674" t="s">
        <v>14</v>
      </c>
      <c r="N674" s="2">
        <v>843.14</v>
      </c>
      <c r="O674" s="2" t="str">
        <f>IF(EHR_Export[[#This Row],[Arrival Time]]&lt;=TIME(7,0,0), "Night", IF(EHR_Export[[#This Row],[Arrival Time]]&lt;TIME(15,0,0), "Day", "Evening"))</f>
        <v>Evening</v>
      </c>
      <c r="P674" cm="1">
        <f t="array" ref="P6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675" spans="1:16" x14ac:dyDescent="0.25">
      <c r="A675" t="s">
        <v>934</v>
      </c>
      <c r="B675" s="1">
        <v>46097</v>
      </c>
      <c r="C675" s="4">
        <v>0.88263888888888886</v>
      </c>
      <c r="D675" t="s">
        <v>21</v>
      </c>
      <c r="E675" t="s">
        <v>53</v>
      </c>
      <c r="F675" t="s">
        <v>112</v>
      </c>
      <c r="G675">
        <v>69</v>
      </c>
      <c r="H675" t="s">
        <v>849</v>
      </c>
      <c r="I675" t="s">
        <v>13</v>
      </c>
      <c r="J675">
        <v>46</v>
      </c>
      <c r="K675">
        <v>15</v>
      </c>
      <c r="L675">
        <v>5</v>
      </c>
      <c r="M675" t="s">
        <v>14</v>
      </c>
      <c r="N675" s="2">
        <v>1000.32</v>
      </c>
      <c r="O675" s="2" t="str">
        <f>IF(EHR_Export[[#This Row],[Arrival Time]]&lt;=TIME(7,0,0), "Night", IF(EHR_Export[[#This Row],[Arrival Time]]&lt;TIME(15,0,0), "Day", "Evening"))</f>
        <v>Evening</v>
      </c>
      <c r="P675" cm="1">
        <f t="array" ref="P6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76" spans="1:16" x14ac:dyDescent="0.25">
      <c r="A676" t="s">
        <v>1110</v>
      </c>
      <c r="B676" s="1">
        <v>46097</v>
      </c>
      <c r="C676" s="4">
        <v>0.34791666666666665</v>
      </c>
      <c r="D676" t="s">
        <v>28</v>
      </c>
      <c r="E676" t="s">
        <v>23</v>
      </c>
      <c r="F676" t="s">
        <v>289</v>
      </c>
      <c r="G676">
        <v>42</v>
      </c>
      <c r="H676" t="s">
        <v>847</v>
      </c>
      <c r="I676" t="s">
        <v>38</v>
      </c>
      <c r="J676">
        <v>30</v>
      </c>
      <c r="K676">
        <v>10</v>
      </c>
      <c r="L676">
        <v>4.2</v>
      </c>
      <c r="M676" t="s">
        <v>14</v>
      </c>
      <c r="N676" s="2">
        <v>857.24</v>
      </c>
      <c r="O676" s="2" t="str">
        <f>IF(EHR_Export[[#This Row],[Arrival Time]]&lt;=TIME(7,0,0), "Night", IF(EHR_Export[[#This Row],[Arrival Time]]&lt;TIME(15,0,0), "Day", "Evening"))</f>
        <v>Day</v>
      </c>
      <c r="P676" cm="1">
        <f t="array" ref="P6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77" spans="1:16" x14ac:dyDescent="0.25">
      <c r="A677" t="s">
        <v>1151</v>
      </c>
      <c r="B677" s="1">
        <v>46097</v>
      </c>
      <c r="C677" s="4">
        <v>0.50763888888888886</v>
      </c>
      <c r="D677" t="s">
        <v>28</v>
      </c>
      <c r="E677" t="s">
        <v>23</v>
      </c>
      <c r="F677" t="s">
        <v>330</v>
      </c>
      <c r="G677">
        <v>60</v>
      </c>
      <c r="H677" t="s">
        <v>849</v>
      </c>
      <c r="I677" t="s">
        <v>38</v>
      </c>
      <c r="J677">
        <v>36</v>
      </c>
      <c r="K677">
        <v>17</v>
      </c>
      <c r="L677">
        <v>2.8</v>
      </c>
      <c r="M677" t="s">
        <v>14</v>
      </c>
      <c r="N677" s="2">
        <v>536.66999999999996</v>
      </c>
      <c r="O677" s="2" t="str">
        <f>IF(EHR_Export[[#This Row],[Arrival Time]]&lt;=TIME(7,0,0), "Night", IF(EHR_Export[[#This Row],[Arrival Time]]&lt;TIME(15,0,0), "Day", "Evening"))</f>
        <v>Day</v>
      </c>
      <c r="P677" cm="1">
        <f t="array" ref="P6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78" spans="1:16" x14ac:dyDescent="0.25">
      <c r="A678" t="s">
        <v>1228</v>
      </c>
      <c r="B678" s="1">
        <v>46097</v>
      </c>
      <c r="C678" s="4">
        <v>0.43472222222222223</v>
      </c>
      <c r="D678" t="s">
        <v>21</v>
      </c>
      <c r="E678" t="s">
        <v>53</v>
      </c>
      <c r="F678" t="s">
        <v>407</v>
      </c>
      <c r="G678">
        <v>56</v>
      </c>
      <c r="H678" t="s">
        <v>847</v>
      </c>
      <c r="I678" t="s">
        <v>34</v>
      </c>
      <c r="J678">
        <v>41</v>
      </c>
      <c r="K678">
        <v>27</v>
      </c>
      <c r="L678">
        <v>4.0999999999999996</v>
      </c>
      <c r="M678" t="s">
        <v>14</v>
      </c>
      <c r="N678" s="2">
        <v>717.49</v>
      </c>
      <c r="O678" s="2" t="str">
        <f>IF(EHR_Export[[#This Row],[Arrival Time]]&lt;=TIME(7,0,0), "Night", IF(EHR_Export[[#This Row],[Arrival Time]]&lt;TIME(15,0,0), "Day", "Evening"))</f>
        <v>Day</v>
      </c>
      <c r="P678" cm="1">
        <f t="array" ref="P6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79" spans="1:16" x14ac:dyDescent="0.25">
      <c r="A679" t="s">
        <v>1495</v>
      </c>
      <c r="B679" s="1">
        <v>46097</v>
      </c>
      <c r="C679" s="4">
        <v>0.21736111111111112</v>
      </c>
      <c r="D679" t="s">
        <v>58</v>
      </c>
      <c r="E679" t="s">
        <v>842</v>
      </c>
      <c r="F679" t="s">
        <v>674</v>
      </c>
      <c r="G679">
        <v>55</v>
      </c>
      <c r="H679" t="s">
        <v>847</v>
      </c>
      <c r="I679" t="s">
        <v>25</v>
      </c>
      <c r="J679">
        <v>37</v>
      </c>
      <c r="K679">
        <v>75</v>
      </c>
      <c r="L679">
        <v>3.7</v>
      </c>
      <c r="M679" t="s">
        <v>14</v>
      </c>
      <c r="N679" s="2">
        <v>3374.44</v>
      </c>
      <c r="O679" s="2" t="str">
        <f>IF(EHR_Export[[#This Row],[Arrival Time]]&lt;=TIME(7,0,0), "Night", IF(EHR_Export[[#This Row],[Arrival Time]]&lt;TIME(15,0,0), "Day", "Evening"))</f>
        <v>Night</v>
      </c>
      <c r="P679" cm="1">
        <f t="array" ref="P6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680" spans="1:16" x14ac:dyDescent="0.25">
      <c r="A680" t="s">
        <v>1631</v>
      </c>
      <c r="B680" s="1">
        <v>46097</v>
      </c>
      <c r="C680" s="4">
        <v>0.27083333333333331</v>
      </c>
      <c r="D680" t="s">
        <v>126</v>
      </c>
      <c r="E680" t="s">
        <v>46</v>
      </c>
      <c r="F680" t="s">
        <v>810</v>
      </c>
      <c r="G680">
        <v>28</v>
      </c>
      <c r="H680" t="s">
        <v>847</v>
      </c>
      <c r="I680" t="s">
        <v>38</v>
      </c>
      <c r="J680">
        <v>52</v>
      </c>
      <c r="K680">
        <v>10</v>
      </c>
      <c r="L680">
        <v>3.6</v>
      </c>
      <c r="N680" s="2">
        <v>1621.17</v>
      </c>
      <c r="O680" s="2" t="str">
        <f>IF(EHR_Export[[#This Row],[Arrival Time]]&lt;=TIME(7,0,0), "Night", IF(EHR_Export[[#This Row],[Arrival Time]]&lt;TIME(15,0,0), "Day", "Evening"))</f>
        <v>Night</v>
      </c>
      <c r="P680" cm="1">
        <f t="array" ref="P6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681" spans="1:16" x14ac:dyDescent="0.25">
      <c r="A681" t="s">
        <v>852</v>
      </c>
      <c r="B681" s="1">
        <v>46098</v>
      </c>
      <c r="C681" s="4">
        <v>0.85486111111111107</v>
      </c>
      <c r="D681" t="s">
        <v>28</v>
      </c>
      <c r="E681" t="s">
        <v>23</v>
      </c>
      <c r="F681" t="s">
        <v>19</v>
      </c>
      <c r="G681">
        <v>51</v>
      </c>
      <c r="H681" t="s">
        <v>849</v>
      </c>
      <c r="I681" t="s">
        <v>38</v>
      </c>
      <c r="J681">
        <v>77</v>
      </c>
      <c r="K681">
        <v>33</v>
      </c>
      <c r="L681">
        <v>4.3</v>
      </c>
      <c r="M681" t="s">
        <v>14</v>
      </c>
      <c r="N681" s="2">
        <v>998.34</v>
      </c>
      <c r="O681" s="2" t="str">
        <f>IF(EHR_Export[[#This Row],[Arrival Time]]&lt;=TIME(7,0,0), "Night", IF(EHR_Export[[#This Row],[Arrival Time]]&lt;TIME(15,0,0), "Day", "Evening"))</f>
        <v>Evening</v>
      </c>
      <c r="P681" cm="1">
        <f t="array" ref="P6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682" spans="1:16" x14ac:dyDescent="0.25">
      <c r="A682" t="s">
        <v>892</v>
      </c>
      <c r="B682" s="1">
        <v>46098</v>
      </c>
      <c r="C682" s="4">
        <v>0.43541666666666667</v>
      </c>
      <c r="D682" t="s">
        <v>58</v>
      </c>
      <c r="E682" t="s">
        <v>842</v>
      </c>
      <c r="F682" t="s">
        <v>70</v>
      </c>
      <c r="G682">
        <v>75</v>
      </c>
      <c r="H682" t="s">
        <v>847</v>
      </c>
      <c r="I682" t="s">
        <v>34</v>
      </c>
      <c r="J682">
        <v>29</v>
      </c>
      <c r="K682">
        <v>82</v>
      </c>
      <c r="L682">
        <v>3.4</v>
      </c>
      <c r="M682" t="s">
        <v>14</v>
      </c>
      <c r="N682" s="2">
        <v>3483.34</v>
      </c>
      <c r="O682" s="2" t="str">
        <f>IF(EHR_Export[[#This Row],[Arrival Time]]&lt;=TIME(7,0,0), "Night", IF(EHR_Export[[#This Row],[Arrival Time]]&lt;TIME(15,0,0), "Day", "Evening"))</f>
        <v>Day</v>
      </c>
      <c r="P682" cm="1">
        <f t="array" ref="P6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83" spans="1:16" x14ac:dyDescent="0.25">
      <c r="A683" t="s">
        <v>1063</v>
      </c>
      <c r="B683" s="1">
        <v>46098</v>
      </c>
      <c r="C683" s="4">
        <v>0.40277777777777779</v>
      </c>
      <c r="D683" t="s">
        <v>28</v>
      </c>
      <c r="E683" t="s">
        <v>23</v>
      </c>
      <c r="F683" t="s">
        <v>242</v>
      </c>
      <c r="G683">
        <v>44</v>
      </c>
      <c r="H683" t="s">
        <v>847</v>
      </c>
      <c r="I683" t="s">
        <v>38</v>
      </c>
      <c r="J683">
        <v>30</v>
      </c>
      <c r="K683">
        <v>38</v>
      </c>
      <c r="L683">
        <v>4.2</v>
      </c>
      <c r="M683" t="s">
        <v>14</v>
      </c>
      <c r="N683" s="2">
        <v>827.5</v>
      </c>
      <c r="O683" s="2" t="str">
        <f>IF(EHR_Export[[#This Row],[Arrival Time]]&lt;=TIME(7,0,0), "Night", IF(EHR_Export[[#This Row],[Arrival Time]]&lt;TIME(15,0,0), "Day", "Evening"))</f>
        <v>Day</v>
      </c>
      <c r="P683" cm="1">
        <f t="array" ref="P6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84" spans="1:16" x14ac:dyDescent="0.25">
      <c r="A684" t="s">
        <v>1154</v>
      </c>
      <c r="B684" s="1">
        <v>46098</v>
      </c>
      <c r="C684" s="4">
        <v>0.56736111111111109</v>
      </c>
      <c r="D684" t="s">
        <v>28</v>
      </c>
      <c r="E684" t="s">
        <v>23</v>
      </c>
      <c r="F684" t="s">
        <v>333</v>
      </c>
      <c r="G684">
        <v>19</v>
      </c>
      <c r="H684" t="s">
        <v>849</v>
      </c>
      <c r="I684" t="s">
        <v>38</v>
      </c>
      <c r="J684">
        <v>44</v>
      </c>
      <c r="K684">
        <v>15</v>
      </c>
      <c r="L684">
        <v>4.0999999999999996</v>
      </c>
      <c r="M684" t="s">
        <v>14</v>
      </c>
      <c r="N684" s="2">
        <v>941.14</v>
      </c>
      <c r="O684" s="2" t="str">
        <f>IF(EHR_Export[[#This Row],[Arrival Time]]&lt;=TIME(7,0,0), "Night", IF(EHR_Export[[#This Row],[Arrival Time]]&lt;TIME(15,0,0), "Day", "Evening"))</f>
        <v>Day</v>
      </c>
      <c r="P684" cm="1">
        <f t="array" ref="P6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85" spans="1:16" x14ac:dyDescent="0.25">
      <c r="A685" t="s">
        <v>1317</v>
      </c>
      <c r="B685" s="1">
        <v>46098</v>
      </c>
      <c r="C685" s="4">
        <v>0.82708333333333328</v>
      </c>
      <c r="D685" t="s">
        <v>126</v>
      </c>
      <c r="E685" t="s">
        <v>46</v>
      </c>
      <c r="F685" t="s">
        <v>496</v>
      </c>
      <c r="G685">
        <v>79</v>
      </c>
      <c r="H685" t="s">
        <v>849</v>
      </c>
      <c r="I685" t="s">
        <v>34</v>
      </c>
      <c r="J685">
        <v>38</v>
      </c>
      <c r="K685">
        <v>13</v>
      </c>
      <c r="M685" t="s">
        <v>14</v>
      </c>
      <c r="N685" s="2">
        <v>1764.69</v>
      </c>
      <c r="O685" s="2" t="str">
        <f>IF(EHR_Export[[#This Row],[Arrival Time]]&lt;=TIME(7,0,0), "Night", IF(EHR_Export[[#This Row],[Arrival Time]]&lt;TIME(15,0,0), "Day", "Evening"))</f>
        <v>Evening</v>
      </c>
      <c r="P685" cm="1">
        <f t="array" ref="P6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86" spans="1:16" x14ac:dyDescent="0.25">
      <c r="A686" t="s">
        <v>1385</v>
      </c>
      <c r="B686" s="1">
        <v>46098</v>
      </c>
      <c r="C686" s="4">
        <v>0.84791666666666665</v>
      </c>
      <c r="D686" t="s">
        <v>21</v>
      </c>
      <c r="E686" t="s">
        <v>53</v>
      </c>
      <c r="F686" t="s">
        <v>564</v>
      </c>
      <c r="G686">
        <v>79</v>
      </c>
      <c r="H686" t="s">
        <v>847</v>
      </c>
      <c r="I686" t="s">
        <v>38</v>
      </c>
      <c r="J686">
        <v>33</v>
      </c>
      <c r="K686">
        <v>53</v>
      </c>
      <c r="L686">
        <v>4.4000000000000004</v>
      </c>
      <c r="M686" t="s">
        <v>18</v>
      </c>
      <c r="N686" s="2">
        <v>825.6</v>
      </c>
      <c r="O686" s="2" t="str">
        <f>IF(EHR_Export[[#This Row],[Arrival Time]]&lt;=TIME(7,0,0), "Night", IF(EHR_Export[[#This Row],[Arrival Time]]&lt;TIME(15,0,0), "Day", "Evening"))</f>
        <v>Evening</v>
      </c>
      <c r="P686" cm="1">
        <f t="array" ref="P6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87" spans="1:16" x14ac:dyDescent="0.25">
      <c r="A687" t="s">
        <v>1604</v>
      </c>
      <c r="B687" s="1">
        <v>46098</v>
      </c>
      <c r="C687" s="4">
        <v>0.55486111111111114</v>
      </c>
      <c r="D687" t="s">
        <v>48</v>
      </c>
      <c r="E687" t="s">
        <v>42</v>
      </c>
      <c r="F687" t="s">
        <v>783</v>
      </c>
      <c r="G687">
        <v>12</v>
      </c>
      <c r="H687" t="s">
        <v>847</v>
      </c>
      <c r="I687" t="s">
        <v>25</v>
      </c>
      <c r="J687">
        <v>61</v>
      </c>
      <c r="K687">
        <v>56</v>
      </c>
      <c r="L687">
        <v>3.2</v>
      </c>
      <c r="M687" t="s">
        <v>14</v>
      </c>
      <c r="N687" s="2">
        <v>1744.69</v>
      </c>
      <c r="O687" s="2" t="str">
        <f>IF(EHR_Export[[#This Row],[Arrival Time]]&lt;=TIME(7,0,0), "Night", IF(EHR_Export[[#This Row],[Arrival Time]]&lt;TIME(15,0,0), "Day", "Evening"))</f>
        <v>Day</v>
      </c>
      <c r="P687" cm="1">
        <f t="array" ref="P6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88" spans="1:16" x14ac:dyDescent="0.25">
      <c r="A688" t="s">
        <v>878</v>
      </c>
      <c r="B688" s="1">
        <v>46099</v>
      </c>
      <c r="C688" s="4">
        <v>0.76597222222222228</v>
      </c>
      <c r="D688" t="s">
        <v>126</v>
      </c>
      <c r="E688" t="s">
        <v>46</v>
      </c>
      <c r="F688" t="s">
        <v>55</v>
      </c>
      <c r="G688">
        <v>52</v>
      </c>
      <c r="H688" t="s">
        <v>847</v>
      </c>
      <c r="I688" t="s">
        <v>34</v>
      </c>
      <c r="J688">
        <v>54</v>
      </c>
      <c r="K688">
        <v>55</v>
      </c>
      <c r="L688">
        <v>3.3</v>
      </c>
      <c r="M688" t="s">
        <v>14</v>
      </c>
      <c r="N688" s="2">
        <v>2779.06</v>
      </c>
      <c r="O688" s="2" t="str">
        <f>IF(EHR_Export[[#This Row],[Arrival Time]]&lt;=TIME(7,0,0), "Night", IF(EHR_Export[[#This Row],[Arrival Time]]&lt;TIME(15,0,0), "Day", "Evening"))</f>
        <v>Evening</v>
      </c>
      <c r="P688" cm="1">
        <f t="array" ref="P6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89" spans="1:16" x14ac:dyDescent="0.25">
      <c r="A689" t="s">
        <v>1059</v>
      </c>
      <c r="B689" s="1">
        <v>46099</v>
      </c>
      <c r="C689" s="4">
        <v>0.93888888888888888</v>
      </c>
      <c r="D689" t="s">
        <v>48</v>
      </c>
      <c r="E689" t="s">
        <v>42</v>
      </c>
      <c r="F689" t="s">
        <v>238</v>
      </c>
      <c r="G689">
        <v>55</v>
      </c>
      <c r="H689" t="s">
        <v>847</v>
      </c>
      <c r="I689" t="s">
        <v>38</v>
      </c>
      <c r="J689">
        <v>87</v>
      </c>
      <c r="K689">
        <v>24</v>
      </c>
      <c r="L689">
        <v>2.5</v>
      </c>
      <c r="M689" t="s">
        <v>14</v>
      </c>
      <c r="N689" s="2">
        <v>1956.12</v>
      </c>
      <c r="O689" s="2" t="str">
        <f>IF(EHR_Export[[#This Row],[Arrival Time]]&lt;=TIME(7,0,0), "Night", IF(EHR_Export[[#This Row],[Arrival Time]]&lt;TIME(15,0,0), "Day", "Evening"))</f>
        <v>Evening</v>
      </c>
      <c r="P689" cm="1">
        <f t="array" ref="P6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690" spans="1:16" x14ac:dyDescent="0.25">
      <c r="A690" t="s">
        <v>1243</v>
      </c>
      <c r="B690" s="1">
        <v>46099</v>
      </c>
      <c r="C690" s="4">
        <v>0.52013888888888893</v>
      </c>
      <c r="D690" t="s">
        <v>126</v>
      </c>
      <c r="E690" t="s">
        <v>46</v>
      </c>
      <c r="F690" t="s">
        <v>422</v>
      </c>
      <c r="G690">
        <v>50</v>
      </c>
      <c r="H690" t="s">
        <v>847</v>
      </c>
      <c r="I690" t="s">
        <v>13</v>
      </c>
      <c r="J690">
        <v>58</v>
      </c>
      <c r="K690">
        <v>56</v>
      </c>
      <c r="M690" t="s">
        <v>14</v>
      </c>
      <c r="N690" s="2">
        <v>1745.42</v>
      </c>
      <c r="O690" s="2" t="str">
        <f>IF(EHR_Export[[#This Row],[Arrival Time]]&lt;=TIME(7,0,0), "Night", IF(EHR_Export[[#This Row],[Arrival Time]]&lt;TIME(15,0,0), "Day", "Evening"))</f>
        <v>Day</v>
      </c>
      <c r="P690" cm="1">
        <f t="array" ref="P6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691" spans="1:16" x14ac:dyDescent="0.25">
      <c r="A691" t="s">
        <v>1292</v>
      </c>
      <c r="B691" s="1">
        <v>46099</v>
      </c>
      <c r="C691" s="4">
        <v>0.53888888888888886</v>
      </c>
      <c r="D691" t="s">
        <v>28</v>
      </c>
      <c r="E691" t="s">
        <v>23</v>
      </c>
      <c r="F691" t="s">
        <v>471</v>
      </c>
      <c r="G691">
        <v>24</v>
      </c>
      <c r="H691" t="s">
        <v>849</v>
      </c>
      <c r="I691" t="s">
        <v>25</v>
      </c>
      <c r="J691">
        <v>37</v>
      </c>
      <c r="K691">
        <v>20</v>
      </c>
      <c r="L691">
        <v>3.9</v>
      </c>
      <c r="M691" t="s">
        <v>14</v>
      </c>
      <c r="N691" s="2">
        <v>1099.3699999999999</v>
      </c>
      <c r="O691" s="2" t="str">
        <f>IF(EHR_Export[[#This Row],[Arrival Time]]&lt;=TIME(7,0,0), "Night", IF(EHR_Export[[#This Row],[Arrival Time]]&lt;TIME(15,0,0), "Day", "Evening"))</f>
        <v>Day</v>
      </c>
      <c r="P691" cm="1">
        <f t="array" ref="P6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692" spans="1:16" x14ac:dyDescent="0.25">
      <c r="A692" t="s">
        <v>1296</v>
      </c>
      <c r="B692" s="1">
        <v>46099</v>
      </c>
      <c r="C692" s="4">
        <v>0.51388888888888884</v>
      </c>
      <c r="D692" t="s">
        <v>48</v>
      </c>
      <c r="E692" t="s">
        <v>42</v>
      </c>
      <c r="F692" t="s">
        <v>475</v>
      </c>
      <c r="G692">
        <v>46</v>
      </c>
      <c r="H692" t="s">
        <v>849</v>
      </c>
      <c r="I692" t="s">
        <v>34</v>
      </c>
      <c r="J692">
        <v>46</v>
      </c>
      <c r="K692">
        <v>28</v>
      </c>
      <c r="L692">
        <v>3.6</v>
      </c>
      <c r="M692" t="s">
        <v>18</v>
      </c>
      <c r="N692" s="2">
        <v>1380.21</v>
      </c>
      <c r="O692" s="2" t="str">
        <f>IF(EHR_Export[[#This Row],[Arrival Time]]&lt;=TIME(7,0,0), "Night", IF(EHR_Export[[#This Row],[Arrival Time]]&lt;TIME(15,0,0), "Day", "Evening"))</f>
        <v>Day</v>
      </c>
      <c r="P692" cm="1">
        <f t="array" ref="P6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93" spans="1:16" x14ac:dyDescent="0.25">
      <c r="A693" t="s">
        <v>1596</v>
      </c>
      <c r="B693" s="1">
        <v>46099</v>
      </c>
      <c r="C693" s="4">
        <v>0.2590277777777778</v>
      </c>
      <c r="D693" t="s">
        <v>126</v>
      </c>
      <c r="E693" t="s">
        <v>46</v>
      </c>
      <c r="F693" t="s">
        <v>775</v>
      </c>
      <c r="G693">
        <v>25</v>
      </c>
      <c r="H693" t="s">
        <v>849</v>
      </c>
      <c r="I693" t="s">
        <v>38</v>
      </c>
      <c r="J693">
        <v>12</v>
      </c>
      <c r="K693">
        <v>75</v>
      </c>
      <c r="L693">
        <v>5</v>
      </c>
      <c r="M693" t="s">
        <v>14</v>
      </c>
      <c r="N693" s="2">
        <v>1147.78</v>
      </c>
      <c r="O693" s="2" t="str">
        <f>IF(EHR_Export[[#This Row],[Arrival Time]]&lt;=TIME(7,0,0), "Night", IF(EHR_Export[[#This Row],[Arrival Time]]&lt;TIME(15,0,0), "Day", "Evening"))</f>
        <v>Night</v>
      </c>
      <c r="P693" cm="1">
        <f t="array" ref="P6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2</v>
      </c>
    </row>
    <row r="694" spans="1:16" x14ac:dyDescent="0.25">
      <c r="A694" t="s">
        <v>1623</v>
      </c>
      <c r="B694" s="1">
        <v>46099</v>
      </c>
      <c r="C694" s="4">
        <v>0.62986111111111109</v>
      </c>
      <c r="D694" t="s">
        <v>28</v>
      </c>
      <c r="E694" t="s">
        <v>23</v>
      </c>
      <c r="F694" t="s">
        <v>802</v>
      </c>
      <c r="G694">
        <v>37</v>
      </c>
      <c r="H694" t="s">
        <v>849</v>
      </c>
      <c r="I694" t="s">
        <v>13</v>
      </c>
      <c r="J694">
        <v>42</v>
      </c>
      <c r="K694">
        <v>51</v>
      </c>
      <c r="L694">
        <v>2.7</v>
      </c>
      <c r="M694" t="s">
        <v>14</v>
      </c>
      <c r="N694" s="2">
        <v>799.45</v>
      </c>
      <c r="O694" s="2" t="str">
        <f>IF(EHR_Export[[#This Row],[Arrival Time]]&lt;=TIME(7,0,0), "Night", IF(EHR_Export[[#This Row],[Arrival Time]]&lt;TIME(15,0,0), "Day", "Evening"))</f>
        <v>Evening</v>
      </c>
      <c r="P694" cm="1">
        <f t="array" ref="P6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695" spans="1:16" x14ac:dyDescent="0.25">
      <c r="A695" t="s">
        <v>1643</v>
      </c>
      <c r="B695" s="1">
        <v>46099</v>
      </c>
      <c r="C695" s="4">
        <v>0.82013888888888886</v>
      </c>
      <c r="D695" t="s">
        <v>126</v>
      </c>
      <c r="E695" t="s">
        <v>46</v>
      </c>
      <c r="F695" t="s">
        <v>822</v>
      </c>
      <c r="G695">
        <v>15</v>
      </c>
      <c r="H695" t="s">
        <v>849</v>
      </c>
      <c r="I695" t="s">
        <v>38</v>
      </c>
      <c r="J695">
        <v>26</v>
      </c>
      <c r="K695">
        <v>23</v>
      </c>
      <c r="L695">
        <v>4</v>
      </c>
      <c r="M695" t="s">
        <v>14</v>
      </c>
      <c r="N695" s="2">
        <v>1263.1600000000001</v>
      </c>
      <c r="O695" s="2" t="str">
        <f>IF(EHR_Export[[#This Row],[Arrival Time]]&lt;=TIME(7,0,0), "Night", IF(EHR_Export[[#This Row],[Arrival Time]]&lt;TIME(15,0,0), "Day", "Evening"))</f>
        <v>Evening</v>
      </c>
      <c r="P695" cm="1">
        <f t="array" ref="P6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696" spans="1:16" x14ac:dyDescent="0.25">
      <c r="A696" t="s">
        <v>883</v>
      </c>
      <c r="B696" s="1">
        <v>46100</v>
      </c>
      <c r="C696" s="4">
        <v>0.56041666666666667</v>
      </c>
      <c r="D696" t="s">
        <v>48</v>
      </c>
      <c r="E696" t="s">
        <v>42</v>
      </c>
      <c r="F696" t="s">
        <v>61</v>
      </c>
      <c r="G696">
        <v>67</v>
      </c>
      <c r="H696" t="s">
        <v>847</v>
      </c>
      <c r="I696" t="s">
        <v>25</v>
      </c>
      <c r="J696">
        <v>59</v>
      </c>
      <c r="K696">
        <v>10</v>
      </c>
      <c r="L696">
        <v>2.7</v>
      </c>
      <c r="M696" t="s">
        <v>14</v>
      </c>
      <c r="N696" s="2">
        <v>1595.33</v>
      </c>
      <c r="O696" s="2" t="str">
        <f>IF(EHR_Export[[#This Row],[Arrival Time]]&lt;=TIME(7,0,0), "Night", IF(EHR_Export[[#This Row],[Arrival Time]]&lt;TIME(15,0,0), "Day", "Evening"))</f>
        <v>Day</v>
      </c>
      <c r="P696" cm="1">
        <f t="array" ref="P6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97" spans="1:16" x14ac:dyDescent="0.25">
      <c r="A697" t="s">
        <v>928</v>
      </c>
      <c r="B697" s="1">
        <v>46100</v>
      </c>
      <c r="C697" s="4">
        <v>0.7944444444444444</v>
      </c>
      <c r="D697" t="s">
        <v>48</v>
      </c>
      <c r="E697" t="s">
        <v>42</v>
      </c>
      <c r="F697" t="s">
        <v>106</v>
      </c>
      <c r="G697">
        <v>18</v>
      </c>
      <c r="H697" t="s">
        <v>847</v>
      </c>
      <c r="I697" t="s">
        <v>34</v>
      </c>
      <c r="J697">
        <v>53</v>
      </c>
      <c r="K697">
        <v>18</v>
      </c>
      <c r="L697">
        <v>3.9</v>
      </c>
      <c r="M697" t="s">
        <v>14</v>
      </c>
      <c r="N697" s="2">
        <v>1384.27</v>
      </c>
      <c r="O697" s="2" t="str">
        <f>IF(EHR_Export[[#This Row],[Arrival Time]]&lt;=TIME(7,0,0), "Night", IF(EHR_Export[[#This Row],[Arrival Time]]&lt;TIME(15,0,0), "Day", "Evening"))</f>
        <v>Evening</v>
      </c>
      <c r="P697" cm="1">
        <f t="array" ref="P6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698" spans="1:16" x14ac:dyDescent="0.25">
      <c r="A698" t="s">
        <v>946</v>
      </c>
      <c r="B698" s="1">
        <v>46100</v>
      </c>
      <c r="C698" s="4">
        <v>0.62986111111111109</v>
      </c>
      <c r="D698" t="s">
        <v>28</v>
      </c>
      <c r="E698" t="s">
        <v>23</v>
      </c>
      <c r="F698" t="s">
        <v>124</v>
      </c>
      <c r="G698">
        <v>999</v>
      </c>
      <c r="H698" t="s">
        <v>847</v>
      </c>
      <c r="I698" t="s">
        <v>34</v>
      </c>
      <c r="J698">
        <v>28</v>
      </c>
      <c r="K698">
        <v>49</v>
      </c>
      <c r="L698">
        <v>4.3</v>
      </c>
      <c r="M698" t="s">
        <v>14</v>
      </c>
      <c r="N698" s="2">
        <v>703.66</v>
      </c>
      <c r="O698" s="2" t="str">
        <f>IF(EHR_Export[[#This Row],[Arrival Time]]&lt;=TIME(7,0,0), "Night", IF(EHR_Export[[#This Row],[Arrival Time]]&lt;TIME(15,0,0), "Day", "Evening"))</f>
        <v>Evening</v>
      </c>
      <c r="P698" cm="1">
        <f t="array" ref="P6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699" spans="1:16" x14ac:dyDescent="0.25">
      <c r="A699" t="s">
        <v>1076</v>
      </c>
      <c r="B699" s="1">
        <v>46100</v>
      </c>
      <c r="C699" s="4">
        <v>0.48194444444444445</v>
      </c>
      <c r="D699" t="s">
        <v>28</v>
      </c>
      <c r="E699" t="s">
        <v>23</v>
      </c>
      <c r="F699" t="s">
        <v>255</v>
      </c>
      <c r="G699">
        <v>99</v>
      </c>
      <c r="H699" t="s">
        <v>849</v>
      </c>
      <c r="I699" t="s">
        <v>13</v>
      </c>
      <c r="J699">
        <v>60</v>
      </c>
      <c r="K699">
        <v>14</v>
      </c>
      <c r="L699">
        <v>1.9</v>
      </c>
      <c r="M699" t="s">
        <v>14</v>
      </c>
      <c r="N699" s="2">
        <v>1154.0999999999999</v>
      </c>
      <c r="O699" s="2" t="str">
        <f>IF(EHR_Export[[#This Row],[Arrival Time]]&lt;=TIME(7,0,0), "Night", IF(EHR_Export[[#This Row],[Arrival Time]]&lt;TIME(15,0,0), "Day", "Evening"))</f>
        <v>Day</v>
      </c>
      <c r="P699" cm="1">
        <f t="array" ref="P6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00" spans="1:16" x14ac:dyDescent="0.25">
      <c r="A700" t="s">
        <v>1132</v>
      </c>
      <c r="B700" s="1">
        <v>46100</v>
      </c>
      <c r="C700" s="4">
        <v>0.54166666666666663</v>
      </c>
      <c r="D700" t="s">
        <v>28</v>
      </c>
      <c r="E700" t="s">
        <v>23</v>
      </c>
      <c r="F700" t="s">
        <v>311</v>
      </c>
      <c r="G700">
        <v>41</v>
      </c>
      <c r="H700" t="s">
        <v>847</v>
      </c>
      <c r="I700" t="s">
        <v>25</v>
      </c>
      <c r="J700">
        <v>68</v>
      </c>
      <c r="K700">
        <v>43</v>
      </c>
      <c r="L700">
        <v>4.5</v>
      </c>
      <c r="M700" t="s">
        <v>18</v>
      </c>
      <c r="N700" s="2">
        <v>570.01</v>
      </c>
      <c r="O700" s="2" t="str">
        <f>IF(EHR_Export[[#This Row],[Arrival Time]]&lt;=TIME(7,0,0), "Night", IF(EHR_Export[[#This Row],[Arrival Time]]&lt;TIME(15,0,0), "Day", "Evening"))</f>
        <v>Day</v>
      </c>
      <c r="P700" cm="1">
        <f t="array" ref="P7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01" spans="1:16" x14ac:dyDescent="0.25">
      <c r="A701" t="s">
        <v>1387</v>
      </c>
      <c r="B701" s="1">
        <v>46100</v>
      </c>
      <c r="C701" s="4">
        <v>0.70833333333333337</v>
      </c>
      <c r="D701" t="s">
        <v>58</v>
      </c>
      <c r="E701" t="s">
        <v>842</v>
      </c>
      <c r="F701" t="s">
        <v>566</v>
      </c>
      <c r="G701">
        <v>59</v>
      </c>
      <c r="H701" t="s">
        <v>849</v>
      </c>
      <c r="I701" t="s">
        <v>25</v>
      </c>
      <c r="J701">
        <v>90</v>
      </c>
      <c r="K701">
        <v>113</v>
      </c>
      <c r="M701" t="s">
        <v>14</v>
      </c>
      <c r="N701" s="2">
        <v>2938.72</v>
      </c>
      <c r="O701" s="2" t="str">
        <f>IF(EHR_Export[[#This Row],[Arrival Time]]&lt;=TIME(7,0,0), "Night", IF(EHR_Export[[#This Row],[Arrival Time]]&lt;TIME(15,0,0), "Day", "Evening"))</f>
        <v>Evening</v>
      </c>
      <c r="P701" cm="1">
        <f t="array" ref="P7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02" spans="1:16" x14ac:dyDescent="0.25">
      <c r="A702" t="s">
        <v>1468</v>
      </c>
      <c r="B702" s="1">
        <v>46100</v>
      </c>
      <c r="C702" s="4">
        <v>0.93055555555555558</v>
      </c>
      <c r="D702" t="s">
        <v>21</v>
      </c>
      <c r="E702" t="s">
        <v>53</v>
      </c>
      <c r="F702" t="s">
        <v>647</v>
      </c>
      <c r="G702">
        <v>25</v>
      </c>
      <c r="H702" t="s">
        <v>847</v>
      </c>
      <c r="I702" t="s">
        <v>38</v>
      </c>
      <c r="J702">
        <v>44</v>
      </c>
      <c r="K702">
        <v>74</v>
      </c>
      <c r="L702">
        <v>3.9</v>
      </c>
      <c r="M702" t="s">
        <v>14</v>
      </c>
      <c r="N702" s="2">
        <v>725.66</v>
      </c>
      <c r="O702" s="2" t="str">
        <f>IF(EHR_Export[[#This Row],[Arrival Time]]&lt;=TIME(7,0,0), "Night", IF(EHR_Export[[#This Row],[Arrival Time]]&lt;TIME(15,0,0), "Day", "Evening"))</f>
        <v>Evening</v>
      </c>
      <c r="P702" cm="1">
        <f t="array" ref="P7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03" spans="1:16" x14ac:dyDescent="0.25">
      <c r="A703" t="s">
        <v>1554</v>
      </c>
      <c r="B703" s="1">
        <v>46100</v>
      </c>
      <c r="C703" s="4">
        <v>0.55138888888888893</v>
      </c>
      <c r="D703" t="s">
        <v>21</v>
      </c>
      <c r="E703" t="s">
        <v>53</v>
      </c>
      <c r="F703" t="s">
        <v>733</v>
      </c>
      <c r="G703">
        <v>33</v>
      </c>
      <c r="H703" t="s">
        <v>849</v>
      </c>
      <c r="I703" t="s">
        <v>25</v>
      </c>
      <c r="J703">
        <v>26</v>
      </c>
      <c r="K703">
        <v>47</v>
      </c>
      <c r="L703">
        <v>4.3</v>
      </c>
      <c r="M703" t="s">
        <v>14</v>
      </c>
      <c r="N703" s="2">
        <v>828.32</v>
      </c>
      <c r="O703" s="2" t="str">
        <f>IF(EHR_Export[[#This Row],[Arrival Time]]&lt;=TIME(7,0,0), "Night", IF(EHR_Export[[#This Row],[Arrival Time]]&lt;TIME(15,0,0), "Day", "Evening"))</f>
        <v>Day</v>
      </c>
      <c r="P703" cm="1">
        <f t="array" ref="P7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04" spans="1:16" x14ac:dyDescent="0.25">
      <c r="A704" t="s">
        <v>1591</v>
      </c>
      <c r="B704" s="1">
        <v>46100</v>
      </c>
      <c r="C704" s="4">
        <v>0.48055555555555557</v>
      </c>
      <c r="D704" t="s">
        <v>28</v>
      </c>
      <c r="E704" t="s">
        <v>23</v>
      </c>
      <c r="F704" t="s">
        <v>770</v>
      </c>
      <c r="G704">
        <v>60</v>
      </c>
      <c r="H704" t="s">
        <v>849</v>
      </c>
      <c r="I704" t="s">
        <v>34</v>
      </c>
      <c r="J704">
        <v>50</v>
      </c>
      <c r="K704">
        <v>31</v>
      </c>
      <c r="L704">
        <v>3.4</v>
      </c>
      <c r="M704" t="s">
        <v>18</v>
      </c>
      <c r="N704" s="2">
        <v>978.8</v>
      </c>
      <c r="O704" s="2" t="str">
        <f>IF(EHR_Export[[#This Row],[Arrival Time]]&lt;=TIME(7,0,0), "Night", IF(EHR_Export[[#This Row],[Arrival Time]]&lt;TIME(15,0,0), "Day", "Evening"))</f>
        <v>Day</v>
      </c>
      <c r="P704" cm="1">
        <f t="array" ref="P7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05" spans="1:16" x14ac:dyDescent="0.25">
      <c r="A705" t="s">
        <v>998</v>
      </c>
      <c r="B705" s="1">
        <v>46101</v>
      </c>
      <c r="C705" s="4">
        <v>0.67222222222222228</v>
      </c>
      <c r="D705" t="s">
        <v>28</v>
      </c>
      <c r="E705" t="s">
        <v>23</v>
      </c>
      <c r="F705" t="s">
        <v>177</v>
      </c>
      <c r="G705">
        <v>29</v>
      </c>
      <c r="H705" t="s">
        <v>847</v>
      </c>
      <c r="I705" t="s">
        <v>38</v>
      </c>
      <c r="J705">
        <v>45</v>
      </c>
      <c r="K705">
        <v>27</v>
      </c>
      <c r="L705">
        <v>3.7</v>
      </c>
      <c r="M705" t="s">
        <v>14</v>
      </c>
      <c r="N705" s="2">
        <v>879.54</v>
      </c>
      <c r="O705" s="2" t="str">
        <f>IF(EHR_Export[[#This Row],[Arrival Time]]&lt;=TIME(7,0,0), "Night", IF(EHR_Export[[#This Row],[Arrival Time]]&lt;TIME(15,0,0), "Day", "Evening"))</f>
        <v>Evening</v>
      </c>
      <c r="P705" cm="1">
        <f t="array" ref="P7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706" spans="1:16" x14ac:dyDescent="0.25">
      <c r="A706" t="s">
        <v>1030</v>
      </c>
      <c r="B706" s="1">
        <v>46101</v>
      </c>
      <c r="C706" s="4">
        <v>0.37083333333333335</v>
      </c>
      <c r="D706" t="s">
        <v>28</v>
      </c>
      <c r="E706" t="s">
        <v>23</v>
      </c>
      <c r="F706" t="s">
        <v>209</v>
      </c>
      <c r="G706">
        <v>30</v>
      </c>
      <c r="H706" t="s">
        <v>849</v>
      </c>
      <c r="I706" t="s">
        <v>25</v>
      </c>
      <c r="J706">
        <v>39</v>
      </c>
      <c r="K706">
        <v>48</v>
      </c>
      <c r="L706">
        <v>4.2</v>
      </c>
      <c r="M706" t="s">
        <v>14</v>
      </c>
      <c r="N706" s="2">
        <v>831.9</v>
      </c>
      <c r="O706" s="2" t="str">
        <f>IF(EHR_Export[[#This Row],[Arrival Time]]&lt;=TIME(7,0,0), "Night", IF(EHR_Export[[#This Row],[Arrival Time]]&lt;TIME(15,0,0), "Day", "Evening"))</f>
        <v>Day</v>
      </c>
      <c r="P706" cm="1">
        <f t="array" ref="P7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07" spans="1:16" x14ac:dyDescent="0.25">
      <c r="A707" t="s">
        <v>1389</v>
      </c>
      <c r="B707" s="1">
        <v>46101</v>
      </c>
      <c r="C707" s="4">
        <v>0.55486111111111114</v>
      </c>
      <c r="D707" t="s">
        <v>126</v>
      </c>
      <c r="E707" t="s">
        <v>46</v>
      </c>
      <c r="F707" t="s">
        <v>568</v>
      </c>
      <c r="G707">
        <v>47</v>
      </c>
      <c r="H707" t="s">
        <v>849</v>
      </c>
      <c r="I707" t="s">
        <v>34</v>
      </c>
      <c r="J707">
        <v>25</v>
      </c>
      <c r="K707">
        <v>33</v>
      </c>
      <c r="L707">
        <v>4.5</v>
      </c>
      <c r="M707" t="s">
        <v>14</v>
      </c>
      <c r="N707" s="2">
        <v>1810.59</v>
      </c>
      <c r="O707" s="2" t="str">
        <f>IF(EHR_Export[[#This Row],[Arrival Time]]&lt;=TIME(7,0,0), "Night", IF(EHR_Export[[#This Row],[Arrival Time]]&lt;TIME(15,0,0), "Day", "Evening"))</f>
        <v>Day</v>
      </c>
      <c r="P707" cm="1">
        <f t="array" ref="P7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08" spans="1:16" x14ac:dyDescent="0.25">
      <c r="A708" t="s">
        <v>1390</v>
      </c>
      <c r="B708" s="1">
        <v>46101</v>
      </c>
      <c r="C708" s="4">
        <v>0.59097222222222223</v>
      </c>
      <c r="D708" t="s">
        <v>58</v>
      </c>
      <c r="E708" t="s">
        <v>842</v>
      </c>
      <c r="F708" t="s">
        <v>569</v>
      </c>
      <c r="G708">
        <v>36</v>
      </c>
      <c r="H708" t="s">
        <v>847</v>
      </c>
      <c r="I708" t="s">
        <v>25</v>
      </c>
      <c r="J708">
        <v>96</v>
      </c>
      <c r="K708">
        <v>91</v>
      </c>
      <c r="L708">
        <v>2.1</v>
      </c>
      <c r="M708" t="s">
        <v>14</v>
      </c>
      <c r="N708" s="2">
        <v>3553.13</v>
      </c>
      <c r="O708" s="2" t="str">
        <f>IF(EHR_Export[[#This Row],[Arrival Time]]&lt;=TIME(7,0,0), "Night", IF(EHR_Export[[#This Row],[Arrival Time]]&lt;TIME(15,0,0), "Day", "Evening"))</f>
        <v>Day</v>
      </c>
      <c r="P708" cm="1">
        <f t="array" ref="P7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709" spans="1:16" x14ac:dyDescent="0.25">
      <c r="A709" t="s">
        <v>1395</v>
      </c>
      <c r="B709" s="1">
        <v>46101</v>
      </c>
      <c r="C709" s="4">
        <v>0.80277777777777781</v>
      </c>
      <c r="D709" t="s">
        <v>48</v>
      </c>
      <c r="E709" t="s">
        <v>42</v>
      </c>
      <c r="F709" t="s">
        <v>574</v>
      </c>
      <c r="G709">
        <v>38</v>
      </c>
      <c r="H709" t="s">
        <v>849</v>
      </c>
      <c r="I709" t="s">
        <v>13</v>
      </c>
      <c r="J709">
        <v>73</v>
      </c>
      <c r="K709">
        <v>26</v>
      </c>
      <c r="L709">
        <v>3.1</v>
      </c>
      <c r="M709" t="s">
        <v>14</v>
      </c>
      <c r="N709" s="2">
        <v>1394.69</v>
      </c>
      <c r="O709" s="2" t="str">
        <f>IF(EHR_Export[[#This Row],[Arrival Time]]&lt;=TIME(7,0,0), "Night", IF(EHR_Export[[#This Row],[Arrival Time]]&lt;TIME(15,0,0), "Day", "Evening"))</f>
        <v>Evening</v>
      </c>
      <c r="P709" cm="1">
        <f t="array" ref="P7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710" spans="1:16" x14ac:dyDescent="0.25">
      <c r="A710" t="s">
        <v>1637</v>
      </c>
      <c r="B710" s="1">
        <v>46101</v>
      </c>
      <c r="C710" s="4">
        <v>0.46319444444444446</v>
      </c>
      <c r="D710" t="s">
        <v>126</v>
      </c>
      <c r="E710" t="s">
        <v>46</v>
      </c>
      <c r="F710" t="s">
        <v>816</v>
      </c>
      <c r="G710">
        <v>46</v>
      </c>
      <c r="H710" t="s">
        <v>849</v>
      </c>
      <c r="I710" t="s">
        <v>34</v>
      </c>
      <c r="J710">
        <v>36</v>
      </c>
      <c r="K710">
        <v>23</v>
      </c>
      <c r="L710">
        <v>2.8</v>
      </c>
      <c r="M710" t="s">
        <v>14</v>
      </c>
      <c r="N710" s="2">
        <v>1384.75</v>
      </c>
      <c r="O710" s="2" t="str">
        <f>IF(EHR_Export[[#This Row],[Arrival Time]]&lt;=TIME(7,0,0), "Night", IF(EHR_Export[[#This Row],[Arrival Time]]&lt;TIME(15,0,0), "Day", "Evening"))</f>
        <v>Day</v>
      </c>
      <c r="P710" cm="1">
        <f t="array" ref="P7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11" spans="1:16" x14ac:dyDescent="0.25">
      <c r="A711" t="s">
        <v>1638</v>
      </c>
      <c r="B711" s="1">
        <v>46101</v>
      </c>
      <c r="C711" s="4">
        <v>0.71944444444444444</v>
      </c>
      <c r="D711" t="s">
        <v>28</v>
      </c>
      <c r="E711" t="s">
        <v>23</v>
      </c>
      <c r="F711" t="s">
        <v>817</v>
      </c>
      <c r="G711">
        <v>66</v>
      </c>
      <c r="H711" t="s">
        <v>849</v>
      </c>
      <c r="I711" t="s">
        <v>25</v>
      </c>
      <c r="J711">
        <v>40</v>
      </c>
      <c r="K711">
        <v>26</v>
      </c>
      <c r="L711">
        <v>3.3</v>
      </c>
      <c r="M711" t="s">
        <v>14</v>
      </c>
      <c r="N711" s="2">
        <v>661.49</v>
      </c>
      <c r="O711" s="2" t="str">
        <f>IF(EHR_Export[[#This Row],[Arrival Time]]&lt;=TIME(7,0,0), "Night", IF(EHR_Export[[#This Row],[Arrival Time]]&lt;TIME(15,0,0), "Day", "Evening"))</f>
        <v>Evening</v>
      </c>
      <c r="P711" cm="1">
        <f t="array" ref="P7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712" spans="1:16" x14ac:dyDescent="0.25">
      <c r="A712" t="s">
        <v>924</v>
      </c>
      <c r="B712" s="1">
        <v>46102</v>
      </c>
      <c r="C712" s="4">
        <v>0.54097222222222219</v>
      </c>
      <c r="D712" t="s">
        <v>58</v>
      </c>
      <c r="E712" t="s">
        <v>842</v>
      </c>
      <c r="F712" t="s">
        <v>102</v>
      </c>
      <c r="G712">
        <v>57</v>
      </c>
      <c r="H712" t="s">
        <v>847</v>
      </c>
      <c r="I712" t="s">
        <v>38</v>
      </c>
      <c r="J712">
        <v>92</v>
      </c>
      <c r="K712">
        <v>71</v>
      </c>
      <c r="L712">
        <v>3.4</v>
      </c>
      <c r="M712" t="s">
        <v>14</v>
      </c>
      <c r="N712" s="2">
        <v>2746.12</v>
      </c>
      <c r="O712" s="2" t="str">
        <f>IF(EHR_Export[[#This Row],[Arrival Time]]&lt;=TIME(7,0,0), "Night", IF(EHR_Export[[#This Row],[Arrival Time]]&lt;TIME(15,0,0), "Day", "Evening"))</f>
        <v>Day</v>
      </c>
      <c r="P712" cm="1">
        <f t="array" ref="P7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13" spans="1:16" x14ac:dyDescent="0.25">
      <c r="A713" t="s">
        <v>1019</v>
      </c>
      <c r="B713" s="1">
        <v>46102</v>
      </c>
      <c r="C713" s="4">
        <v>0.87430555555555556</v>
      </c>
      <c r="D713" t="s">
        <v>28</v>
      </c>
      <c r="E713" t="s">
        <v>23</v>
      </c>
      <c r="F713" t="s">
        <v>198</v>
      </c>
      <c r="G713">
        <v>57</v>
      </c>
      <c r="H713" t="s">
        <v>849</v>
      </c>
      <c r="I713" t="s">
        <v>25</v>
      </c>
      <c r="J713">
        <v>71</v>
      </c>
      <c r="K713">
        <v>42</v>
      </c>
      <c r="L713">
        <v>2.8</v>
      </c>
      <c r="M713" t="s">
        <v>14</v>
      </c>
      <c r="N713" s="2">
        <v>1063.78</v>
      </c>
      <c r="O713" s="2" t="str">
        <f>IF(EHR_Export[[#This Row],[Arrival Time]]&lt;=TIME(7,0,0), "Night", IF(EHR_Export[[#This Row],[Arrival Time]]&lt;TIME(15,0,0), "Day", "Evening"))</f>
        <v>Evening</v>
      </c>
      <c r="P713" cm="1">
        <f t="array" ref="P7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14" spans="1:16" x14ac:dyDescent="0.25">
      <c r="A714" t="s">
        <v>1169</v>
      </c>
      <c r="B714" s="1">
        <v>46102</v>
      </c>
      <c r="C714" s="4">
        <v>0.93194444444444446</v>
      </c>
      <c r="D714" t="s">
        <v>28</v>
      </c>
      <c r="E714" t="s">
        <v>23</v>
      </c>
      <c r="F714" t="s">
        <v>348</v>
      </c>
      <c r="G714">
        <v>29</v>
      </c>
      <c r="H714" t="s">
        <v>847</v>
      </c>
      <c r="I714" t="s">
        <v>34</v>
      </c>
      <c r="J714">
        <v>100</v>
      </c>
      <c r="K714">
        <v>51</v>
      </c>
      <c r="L714">
        <v>3.3</v>
      </c>
      <c r="M714" t="s">
        <v>14</v>
      </c>
      <c r="N714" s="2">
        <v>699.04</v>
      </c>
      <c r="O714" s="2" t="str">
        <f>IF(EHR_Export[[#This Row],[Arrival Time]]&lt;=TIME(7,0,0), "Night", IF(EHR_Export[[#This Row],[Arrival Time]]&lt;TIME(15,0,0), "Day", "Evening"))</f>
        <v>Evening</v>
      </c>
      <c r="P714" cm="1">
        <f t="array" ref="P7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15" spans="1:16" x14ac:dyDescent="0.25">
      <c r="A715" t="s">
        <v>1280</v>
      </c>
      <c r="B715" s="1">
        <v>46102</v>
      </c>
      <c r="C715" s="4">
        <v>0.73402777777777772</v>
      </c>
      <c r="D715" t="s">
        <v>28</v>
      </c>
      <c r="E715" t="s">
        <v>23</v>
      </c>
      <c r="F715" t="s">
        <v>459</v>
      </c>
      <c r="G715">
        <v>42</v>
      </c>
      <c r="H715" t="s">
        <v>847</v>
      </c>
      <c r="I715" t="s">
        <v>25</v>
      </c>
      <c r="J715">
        <v>51</v>
      </c>
      <c r="K715">
        <v>64</v>
      </c>
      <c r="L715">
        <v>3.5</v>
      </c>
      <c r="M715" t="s">
        <v>14</v>
      </c>
      <c r="N715" s="2">
        <v>875.3</v>
      </c>
      <c r="O715" s="2" t="str">
        <f>IF(EHR_Export[[#This Row],[Arrival Time]]&lt;=TIME(7,0,0), "Night", IF(EHR_Export[[#This Row],[Arrival Time]]&lt;TIME(15,0,0), "Day", "Evening"))</f>
        <v>Evening</v>
      </c>
      <c r="P715" cm="1">
        <f t="array" ref="P7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16" spans="1:16" x14ac:dyDescent="0.25">
      <c r="A716" t="s">
        <v>1401</v>
      </c>
      <c r="B716" s="1">
        <v>46102</v>
      </c>
      <c r="C716" s="4">
        <v>0.76111111111111107</v>
      </c>
      <c r="D716" t="s">
        <v>126</v>
      </c>
      <c r="E716" t="s">
        <v>46</v>
      </c>
      <c r="F716" t="s">
        <v>580</v>
      </c>
      <c r="G716">
        <v>45</v>
      </c>
      <c r="H716" t="s">
        <v>849</v>
      </c>
      <c r="I716" t="s">
        <v>13</v>
      </c>
      <c r="J716">
        <v>53</v>
      </c>
      <c r="K716">
        <v>47</v>
      </c>
      <c r="L716">
        <v>4.0999999999999996</v>
      </c>
      <c r="M716" t="s">
        <v>18</v>
      </c>
      <c r="N716" s="2">
        <v>2262.31</v>
      </c>
      <c r="O716" s="2" t="str">
        <f>IF(EHR_Export[[#This Row],[Arrival Time]]&lt;=TIME(7,0,0), "Night", IF(EHR_Export[[#This Row],[Arrival Time]]&lt;TIME(15,0,0), "Day", "Evening"))</f>
        <v>Evening</v>
      </c>
      <c r="P716" cm="1">
        <f t="array" ref="P7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17" spans="1:16" x14ac:dyDescent="0.25">
      <c r="A717" t="s">
        <v>1446</v>
      </c>
      <c r="B717" s="1">
        <v>46102</v>
      </c>
      <c r="C717" s="4">
        <v>0.7729166666666667</v>
      </c>
      <c r="D717" t="s">
        <v>28</v>
      </c>
      <c r="E717" t="s">
        <v>23</v>
      </c>
      <c r="F717" t="s">
        <v>625</v>
      </c>
      <c r="G717">
        <v>80</v>
      </c>
      <c r="H717" t="s">
        <v>847</v>
      </c>
      <c r="I717" t="s">
        <v>25</v>
      </c>
      <c r="J717">
        <v>112</v>
      </c>
      <c r="K717">
        <v>57</v>
      </c>
      <c r="L717">
        <v>2.2999999999999998</v>
      </c>
      <c r="M717" t="s">
        <v>14</v>
      </c>
      <c r="N717" s="2">
        <v>1364.11</v>
      </c>
      <c r="O717" s="2" t="str">
        <f>IF(EHR_Export[[#This Row],[Arrival Time]]&lt;=TIME(7,0,0), "Night", IF(EHR_Export[[#This Row],[Arrival Time]]&lt;TIME(15,0,0), "Day", "Evening"))</f>
        <v>Evening</v>
      </c>
      <c r="P717" cm="1">
        <f t="array" ref="P7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18" spans="1:16" x14ac:dyDescent="0.25">
      <c r="A718" t="s">
        <v>1589</v>
      </c>
      <c r="B718" s="1">
        <v>46102</v>
      </c>
      <c r="C718" s="4">
        <v>9.6527777777777782E-2</v>
      </c>
      <c r="D718" t="s">
        <v>28</v>
      </c>
      <c r="E718" t="s">
        <v>23</v>
      </c>
      <c r="F718" t="s">
        <v>768</v>
      </c>
      <c r="G718">
        <v>7</v>
      </c>
      <c r="H718" t="s">
        <v>847</v>
      </c>
      <c r="I718" t="s">
        <v>25</v>
      </c>
      <c r="J718">
        <v>53</v>
      </c>
      <c r="K718">
        <v>35</v>
      </c>
      <c r="L718">
        <v>4.4000000000000004</v>
      </c>
      <c r="M718" t="s">
        <v>14</v>
      </c>
      <c r="N718" s="2">
        <v>900.68</v>
      </c>
      <c r="O718" s="2" t="str">
        <f>IF(EHR_Export[[#This Row],[Arrival Time]]&lt;=TIME(7,0,0), "Night", IF(EHR_Export[[#This Row],[Arrival Time]]&lt;TIME(15,0,0), "Day", "Evening"))</f>
        <v>Night</v>
      </c>
      <c r="P718" cm="1">
        <f t="array" ref="P71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719" spans="1:16" x14ac:dyDescent="0.25">
      <c r="A719" t="s">
        <v>1593</v>
      </c>
      <c r="B719" s="1">
        <v>46102</v>
      </c>
      <c r="C719" s="4">
        <v>0.45833333333333331</v>
      </c>
      <c r="D719" t="s">
        <v>28</v>
      </c>
      <c r="E719" t="s">
        <v>23</v>
      </c>
      <c r="F719" t="s">
        <v>772</v>
      </c>
      <c r="G719">
        <v>48</v>
      </c>
      <c r="H719" t="s">
        <v>849</v>
      </c>
      <c r="I719" t="s">
        <v>34</v>
      </c>
      <c r="J719">
        <v>53</v>
      </c>
      <c r="K719">
        <v>14</v>
      </c>
      <c r="L719">
        <v>2.6</v>
      </c>
      <c r="M719" t="s">
        <v>14</v>
      </c>
      <c r="N719" s="2">
        <v>825.61</v>
      </c>
      <c r="O719" s="2" t="str">
        <f>IF(EHR_Export[[#This Row],[Arrival Time]]&lt;=TIME(7,0,0), "Night", IF(EHR_Export[[#This Row],[Arrival Time]]&lt;TIME(15,0,0), "Day", "Evening"))</f>
        <v>Day</v>
      </c>
      <c r="P719" cm="1">
        <f t="array" ref="P71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20" spans="1:16" x14ac:dyDescent="0.25">
      <c r="A720" t="s">
        <v>865</v>
      </c>
      <c r="B720" s="1">
        <v>46103</v>
      </c>
      <c r="C720" s="4">
        <v>0.50277777777777777</v>
      </c>
      <c r="D720" t="s">
        <v>28</v>
      </c>
      <c r="E720" t="s">
        <v>23</v>
      </c>
      <c r="F720" t="s">
        <v>37</v>
      </c>
      <c r="G720">
        <v>21</v>
      </c>
      <c r="H720" t="s">
        <v>849</v>
      </c>
      <c r="I720" t="s">
        <v>38</v>
      </c>
      <c r="J720">
        <v>56</v>
      </c>
      <c r="K720">
        <v>46</v>
      </c>
      <c r="L720">
        <v>3.9</v>
      </c>
      <c r="N720" s="2">
        <v>1161.3499999999999</v>
      </c>
      <c r="O720" s="2" t="str">
        <f>IF(EHR_Export[[#This Row],[Arrival Time]]&lt;=TIME(7,0,0), "Night", IF(EHR_Export[[#This Row],[Arrival Time]]&lt;TIME(15,0,0), "Day", "Evening"))</f>
        <v>Day</v>
      </c>
      <c r="P720" cm="1">
        <f t="array" ref="P72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21" spans="1:16" x14ac:dyDescent="0.25">
      <c r="A721" t="s">
        <v>916</v>
      </c>
      <c r="B721" s="1">
        <v>46103</v>
      </c>
      <c r="C721" s="4">
        <v>0.82499999999999996</v>
      </c>
      <c r="D721" t="s">
        <v>21</v>
      </c>
      <c r="E721" t="s">
        <v>53</v>
      </c>
      <c r="F721" t="s">
        <v>94</v>
      </c>
      <c r="G721">
        <v>44</v>
      </c>
      <c r="H721" t="s">
        <v>849</v>
      </c>
      <c r="I721" t="s">
        <v>13</v>
      </c>
      <c r="J721">
        <v>73</v>
      </c>
      <c r="K721">
        <v>31</v>
      </c>
      <c r="L721">
        <v>4.9000000000000004</v>
      </c>
      <c r="M721" t="s">
        <v>14</v>
      </c>
      <c r="N721" s="2">
        <v>798.04</v>
      </c>
      <c r="O721" s="2" t="str">
        <f>IF(EHR_Export[[#This Row],[Arrival Time]]&lt;=TIME(7,0,0), "Night", IF(EHR_Export[[#This Row],[Arrival Time]]&lt;TIME(15,0,0), "Day", "Evening"))</f>
        <v>Evening</v>
      </c>
      <c r="P721" cm="1">
        <f t="array" ref="P72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22" spans="1:16" x14ac:dyDescent="0.25">
      <c r="A722" t="s">
        <v>975</v>
      </c>
      <c r="B722" s="1">
        <v>46103</v>
      </c>
      <c r="C722" s="4">
        <v>0.42569444444444443</v>
      </c>
      <c r="D722" t="s">
        <v>21</v>
      </c>
      <c r="E722" t="s">
        <v>53</v>
      </c>
      <c r="F722" t="s">
        <v>154</v>
      </c>
      <c r="G722">
        <v>55</v>
      </c>
      <c r="H722" t="s">
        <v>847</v>
      </c>
      <c r="I722" t="s">
        <v>34</v>
      </c>
      <c r="J722">
        <v>56</v>
      </c>
      <c r="K722">
        <v>23</v>
      </c>
      <c r="L722">
        <v>3.2</v>
      </c>
      <c r="M722" t="s">
        <v>14</v>
      </c>
      <c r="N722" s="2">
        <v>745.43</v>
      </c>
      <c r="O722" s="2" t="str">
        <f>IF(EHR_Export[[#This Row],[Arrival Time]]&lt;=TIME(7,0,0), "Night", IF(EHR_Export[[#This Row],[Arrival Time]]&lt;TIME(15,0,0), "Day", "Evening"))</f>
        <v>Day</v>
      </c>
      <c r="P722" cm="1">
        <f t="array" ref="P72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723" spans="1:16" x14ac:dyDescent="0.25">
      <c r="A723" t="s">
        <v>1080</v>
      </c>
      <c r="B723" s="1">
        <v>46103</v>
      </c>
      <c r="C723" s="4">
        <v>0.86319444444444449</v>
      </c>
      <c r="D723" t="s">
        <v>48</v>
      </c>
      <c r="E723" t="s">
        <v>42</v>
      </c>
      <c r="F723" t="s">
        <v>259</v>
      </c>
      <c r="G723">
        <v>-5</v>
      </c>
      <c r="H723" t="s">
        <v>847</v>
      </c>
      <c r="I723" t="s">
        <v>38</v>
      </c>
      <c r="J723">
        <v>104</v>
      </c>
      <c r="K723">
        <v>11</v>
      </c>
      <c r="L723">
        <v>3.1</v>
      </c>
      <c r="M723" t="s">
        <v>14</v>
      </c>
      <c r="N723" s="2">
        <v>1404.25</v>
      </c>
      <c r="O723" s="2" t="str">
        <f>IF(EHR_Export[[#This Row],[Arrival Time]]&lt;=TIME(7,0,0), "Night", IF(EHR_Export[[#This Row],[Arrival Time]]&lt;TIME(15,0,0), "Day", "Evening"))</f>
        <v>Evening</v>
      </c>
      <c r="P723" cm="1">
        <f t="array" ref="P72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24" spans="1:16" x14ac:dyDescent="0.25">
      <c r="A724" t="s">
        <v>1146</v>
      </c>
      <c r="B724" s="1">
        <v>46103</v>
      </c>
      <c r="C724" s="4">
        <v>0.46458333333333335</v>
      </c>
      <c r="D724" t="s">
        <v>21</v>
      </c>
      <c r="E724" t="s">
        <v>53</v>
      </c>
      <c r="F724" t="s">
        <v>325</v>
      </c>
      <c r="G724">
        <v>47</v>
      </c>
      <c r="H724" t="s">
        <v>847</v>
      </c>
      <c r="I724" t="s">
        <v>38</v>
      </c>
      <c r="J724">
        <v>29</v>
      </c>
      <c r="K724">
        <v>10</v>
      </c>
      <c r="L724">
        <v>4.3</v>
      </c>
      <c r="M724" t="s">
        <v>14</v>
      </c>
      <c r="N724" s="2">
        <v>729.69</v>
      </c>
      <c r="O724" s="2" t="str">
        <f>IF(EHR_Export[[#This Row],[Arrival Time]]&lt;=TIME(7,0,0), "Night", IF(EHR_Export[[#This Row],[Arrival Time]]&lt;TIME(15,0,0), "Day", "Evening"))</f>
        <v>Day</v>
      </c>
      <c r="P724" cm="1">
        <f t="array" ref="P72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725" spans="1:16" x14ac:dyDescent="0.25">
      <c r="A725" t="s">
        <v>1149</v>
      </c>
      <c r="B725" s="1">
        <v>46103</v>
      </c>
      <c r="C725" s="4">
        <v>0.44861111111111113</v>
      </c>
      <c r="D725" t="s">
        <v>28</v>
      </c>
      <c r="E725" t="s">
        <v>23</v>
      </c>
      <c r="F725" t="s">
        <v>328</v>
      </c>
      <c r="G725">
        <v>99</v>
      </c>
      <c r="H725" t="s">
        <v>849</v>
      </c>
      <c r="I725" t="s">
        <v>25</v>
      </c>
      <c r="J725">
        <v>35</v>
      </c>
      <c r="K725">
        <v>55</v>
      </c>
      <c r="L725">
        <v>3.9</v>
      </c>
      <c r="M725" t="s">
        <v>14</v>
      </c>
      <c r="N725" s="2">
        <v>747.03</v>
      </c>
      <c r="O725" s="2" t="str">
        <f>IF(EHR_Export[[#This Row],[Arrival Time]]&lt;=TIME(7,0,0), "Night", IF(EHR_Export[[#This Row],[Arrival Time]]&lt;TIME(15,0,0), "Day", "Evening"))</f>
        <v>Day</v>
      </c>
      <c r="P725" cm="1">
        <f t="array" ref="P72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26" spans="1:16" x14ac:dyDescent="0.25">
      <c r="A726" t="s">
        <v>1232</v>
      </c>
      <c r="B726" s="1">
        <v>46103</v>
      </c>
      <c r="C726" s="4">
        <v>0.67222222222222228</v>
      </c>
      <c r="D726" t="s">
        <v>48</v>
      </c>
      <c r="E726" t="s">
        <v>42</v>
      </c>
      <c r="F726" t="s">
        <v>411</v>
      </c>
      <c r="G726">
        <v>60</v>
      </c>
      <c r="H726" t="s">
        <v>847</v>
      </c>
      <c r="I726" t="s">
        <v>25</v>
      </c>
      <c r="J726">
        <v>89</v>
      </c>
      <c r="K726">
        <v>41</v>
      </c>
      <c r="L726">
        <v>2.8</v>
      </c>
      <c r="M726" t="s">
        <v>14</v>
      </c>
      <c r="N726" s="2">
        <v>2096.4699999999998</v>
      </c>
      <c r="O726" s="2" t="str">
        <f>IF(EHR_Export[[#This Row],[Arrival Time]]&lt;=TIME(7,0,0), "Night", IF(EHR_Export[[#This Row],[Arrival Time]]&lt;TIME(15,0,0), "Day", "Evening"))</f>
        <v>Evening</v>
      </c>
      <c r="P726" cm="1">
        <f t="array" ref="P72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27" spans="1:16" x14ac:dyDescent="0.25">
      <c r="A727" t="s">
        <v>1284</v>
      </c>
      <c r="B727" s="1">
        <v>46103</v>
      </c>
      <c r="C727" s="4">
        <v>0.97083333333333333</v>
      </c>
      <c r="D727" t="s">
        <v>48</v>
      </c>
      <c r="E727" t="s">
        <v>42</v>
      </c>
      <c r="F727" t="s">
        <v>463</v>
      </c>
      <c r="G727">
        <v>49</v>
      </c>
      <c r="H727" t="s">
        <v>847</v>
      </c>
      <c r="I727" t="s">
        <v>25</v>
      </c>
      <c r="J727">
        <v>47</v>
      </c>
      <c r="K727">
        <v>24</v>
      </c>
      <c r="L727">
        <v>2.9</v>
      </c>
      <c r="M727" t="s">
        <v>14</v>
      </c>
      <c r="N727" s="2">
        <v>1317.36</v>
      </c>
      <c r="O727" s="2" t="str">
        <f>IF(EHR_Export[[#This Row],[Arrival Time]]&lt;=TIME(7,0,0), "Night", IF(EHR_Export[[#This Row],[Arrival Time]]&lt;TIME(15,0,0), "Day", "Evening"))</f>
        <v>Evening</v>
      </c>
      <c r="P727" cm="1">
        <f t="array" ref="P72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28" spans="1:16" x14ac:dyDescent="0.25">
      <c r="A728" t="s">
        <v>1328</v>
      </c>
      <c r="B728" s="1">
        <v>46103</v>
      </c>
      <c r="C728" s="4">
        <v>0.59097222222222223</v>
      </c>
      <c r="D728" t="s">
        <v>21</v>
      </c>
      <c r="E728" t="s">
        <v>53</v>
      </c>
      <c r="F728" t="s">
        <v>507</v>
      </c>
      <c r="G728">
        <v>26</v>
      </c>
      <c r="H728" t="s">
        <v>847</v>
      </c>
      <c r="I728" t="s">
        <v>38</v>
      </c>
      <c r="J728">
        <v>21</v>
      </c>
      <c r="K728">
        <v>38</v>
      </c>
      <c r="L728">
        <v>5</v>
      </c>
      <c r="M728" t="s">
        <v>14</v>
      </c>
      <c r="N728" s="2">
        <v>654.14</v>
      </c>
      <c r="O728" s="2" t="str">
        <f>IF(EHR_Export[[#This Row],[Arrival Time]]&lt;=TIME(7,0,0), "Night", IF(EHR_Export[[#This Row],[Arrival Time]]&lt;TIME(15,0,0), "Day", "Evening"))</f>
        <v>Day</v>
      </c>
      <c r="P728" cm="1">
        <f t="array" ref="P72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729" spans="1:16" x14ac:dyDescent="0.25">
      <c r="A729" t="s">
        <v>1474</v>
      </c>
      <c r="B729" s="1">
        <v>46103</v>
      </c>
      <c r="C729" s="4">
        <v>0.61875000000000002</v>
      </c>
      <c r="D729" t="s">
        <v>126</v>
      </c>
      <c r="E729" t="s">
        <v>46</v>
      </c>
      <c r="F729" t="s">
        <v>653</v>
      </c>
      <c r="G729">
        <v>26</v>
      </c>
      <c r="H729" t="s">
        <v>849</v>
      </c>
      <c r="I729" t="s">
        <v>38</v>
      </c>
      <c r="J729">
        <v>24</v>
      </c>
      <c r="K729">
        <v>34</v>
      </c>
      <c r="L729">
        <v>4.5999999999999996</v>
      </c>
      <c r="M729" t="s">
        <v>14</v>
      </c>
      <c r="N729" s="2">
        <v>1249.8399999999999</v>
      </c>
      <c r="O729" s="2" t="str">
        <f>IF(EHR_Export[[#This Row],[Arrival Time]]&lt;=TIME(7,0,0), "Night", IF(EHR_Export[[#This Row],[Arrival Time]]&lt;TIME(15,0,0), "Day", "Evening"))</f>
        <v>Day</v>
      </c>
      <c r="P729" cm="1">
        <f t="array" ref="P72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30" spans="1:16" x14ac:dyDescent="0.25">
      <c r="A730" t="s">
        <v>1570</v>
      </c>
      <c r="B730" s="1">
        <v>46103</v>
      </c>
      <c r="C730" s="4">
        <v>0.34097222222222223</v>
      </c>
      <c r="D730" t="s">
        <v>48</v>
      </c>
      <c r="E730" t="s">
        <v>42</v>
      </c>
      <c r="F730" t="s">
        <v>749</v>
      </c>
      <c r="G730">
        <v>42</v>
      </c>
      <c r="H730" t="s">
        <v>847</v>
      </c>
      <c r="I730" t="s">
        <v>13</v>
      </c>
      <c r="J730">
        <v>57</v>
      </c>
      <c r="K730">
        <v>21</v>
      </c>
      <c r="L730">
        <v>3.3</v>
      </c>
      <c r="M730" t="s">
        <v>14</v>
      </c>
      <c r="N730" s="2">
        <v>1847.41</v>
      </c>
      <c r="O730" s="2" t="str">
        <f>IF(EHR_Export[[#This Row],[Arrival Time]]&lt;=TIME(7,0,0), "Night", IF(EHR_Export[[#This Row],[Arrival Time]]&lt;TIME(15,0,0), "Day", "Evening"))</f>
        <v>Day</v>
      </c>
      <c r="P730" cm="1">
        <f t="array" ref="P73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31" spans="1:16" x14ac:dyDescent="0.25">
      <c r="A731" t="s">
        <v>919</v>
      </c>
      <c r="B731" s="1">
        <v>46104</v>
      </c>
      <c r="C731" s="4">
        <v>0.82013888888888886</v>
      </c>
      <c r="D731" t="s">
        <v>126</v>
      </c>
      <c r="E731" t="s">
        <v>46</v>
      </c>
      <c r="F731" t="s">
        <v>97</v>
      </c>
      <c r="G731">
        <v>65</v>
      </c>
      <c r="H731" t="s">
        <v>847</v>
      </c>
      <c r="I731" t="s">
        <v>25</v>
      </c>
      <c r="J731">
        <v>36</v>
      </c>
      <c r="K731">
        <v>61</v>
      </c>
      <c r="L731">
        <v>3.4</v>
      </c>
      <c r="M731" t="s">
        <v>14</v>
      </c>
      <c r="N731" s="2">
        <v>893.87</v>
      </c>
      <c r="O731" s="2" t="str">
        <f>IF(EHR_Export[[#This Row],[Arrival Time]]&lt;=TIME(7,0,0), "Night", IF(EHR_Export[[#This Row],[Arrival Time]]&lt;TIME(15,0,0), "Day", "Evening"))</f>
        <v>Evening</v>
      </c>
      <c r="P731" cm="1">
        <f t="array" ref="P73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32" spans="1:16" x14ac:dyDescent="0.25">
      <c r="A732" t="s">
        <v>919</v>
      </c>
      <c r="B732" s="1">
        <v>46104</v>
      </c>
      <c r="C732" s="4">
        <v>0.82013888888888886</v>
      </c>
      <c r="D732" t="s">
        <v>126</v>
      </c>
      <c r="E732" t="s">
        <v>46</v>
      </c>
      <c r="F732" t="s">
        <v>97</v>
      </c>
      <c r="G732">
        <v>65</v>
      </c>
      <c r="H732" t="s">
        <v>847</v>
      </c>
      <c r="I732" t="s">
        <v>25</v>
      </c>
      <c r="J732">
        <v>36</v>
      </c>
      <c r="K732">
        <v>61</v>
      </c>
      <c r="L732">
        <v>3.4</v>
      </c>
      <c r="M732" t="s">
        <v>14</v>
      </c>
      <c r="N732" s="2">
        <v>893.87</v>
      </c>
      <c r="O732" s="2" t="str">
        <f>IF(EHR_Export[[#This Row],[Arrival Time]]&lt;=TIME(7,0,0), "Night", IF(EHR_Export[[#This Row],[Arrival Time]]&lt;TIME(15,0,0), "Day", "Evening"))</f>
        <v>Evening</v>
      </c>
      <c r="P732" cm="1">
        <f t="array" ref="P73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33" spans="1:16" x14ac:dyDescent="0.25">
      <c r="A733" t="s">
        <v>1011</v>
      </c>
      <c r="B733" s="1">
        <v>46104</v>
      </c>
      <c r="C733" s="4">
        <v>0.81666666666666665</v>
      </c>
      <c r="D733" t="s">
        <v>126</v>
      </c>
      <c r="E733" t="s">
        <v>46</v>
      </c>
      <c r="F733" t="s">
        <v>190</v>
      </c>
      <c r="G733">
        <v>80</v>
      </c>
      <c r="H733" t="s">
        <v>847</v>
      </c>
      <c r="I733" t="s">
        <v>13</v>
      </c>
      <c r="J733">
        <v>81</v>
      </c>
      <c r="K733">
        <v>37</v>
      </c>
      <c r="L733">
        <v>3.3</v>
      </c>
      <c r="M733" t="s">
        <v>14</v>
      </c>
      <c r="N733" s="2">
        <v>1533.29</v>
      </c>
      <c r="O733" s="2" t="str">
        <f>IF(EHR_Export[[#This Row],[Arrival Time]]&lt;=TIME(7,0,0), "Night", IF(EHR_Export[[#This Row],[Arrival Time]]&lt;TIME(15,0,0), "Day", "Evening"))</f>
        <v>Evening</v>
      </c>
      <c r="P733" cm="1">
        <f t="array" ref="P73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34" spans="1:16" x14ac:dyDescent="0.25">
      <c r="A734" t="s">
        <v>1119</v>
      </c>
      <c r="B734" s="1">
        <v>46104</v>
      </c>
      <c r="C734" s="4">
        <v>0.6743055555555556</v>
      </c>
      <c r="D734" t="s">
        <v>28</v>
      </c>
      <c r="E734" t="s">
        <v>23</v>
      </c>
      <c r="F734" t="s">
        <v>298</v>
      </c>
      <c r="G734">
        <v>36</v>
      </c>
      <c r="H734" t="s">
        <v>849</v>
      </c>
      <c r="I734" t="s">
        <v>38</v>
      </c>
      <c r="J734">
        <v>76</v>
      </c>
      <c r="K734">
        <v>10</v>
      </c>
      <c r="L734">
        <v>2.4</v>
      </c>
      <c r="M734" t="s">
        <v>18</v>
      </c>
      <c r="N734" s="2">
        <v>687.81</v>
      </c>
      <c r="O734" s="2" t="str">
        <f>IF(EHR_Export[[#This Row],[Arrival Time]]&lt;=TIME(7,0,0), "Night", IF(EHR_Export[[#This Row],[Arrival Time]]&lt;TIME(15,0,0), "Day", "Evening"))</f>
        <v>Evening</v>
      </c>
      <c r="P734" cm="1">
        <f t="array" ref="P73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735" spans="1:16" x14ac:dyDescent="0.25">
      <c r="A735" t="s">
        <v>1261</v>
      </c>
      <c r="B735" s="1">
        <v>46104</v>
      </c>
      <c r="C735" s="4">
        <v>0.41736111111111113</v>
      </c>
      <c r="D735" t="s">
        <v>28</v>
      </c>
      <c r="E735" t="s">
        <v>23</v>
      </c>
      <c r="F735" t="s">
        <v>440</v>
      </c>
      <c r="G735">
        <v>67</v>
      </c>
      <c r="H735" t="s">
        <v>847</v>
      </c>
      <c r="I735" t="s">
        <v>34</v>
      </c>
      <c r="J735">
        <v>69</v>
      </c>
      <c r="K735">
        <v>25</v>
      </c>
      <c r="L735">
        <v>2.8</v>
      </c>
      <c r="M735" t="s">
        <v>18</v>
      </c>
      <c r="N735" s="2">
        <v>911.8</v>
      </c>
      <c r="O735" s="2" t="str">
        <f>IF(EHR_Export[[#This Row],[Arrival Time]]&lt;=TIME(7,0,0), "Night", IF(EHR_Export[[#This Row],[Arrival Time]]&lt;TIME(15,0,0), "Day", "Evening"))</f>
        <v>Day</v>
      </c>
      <c r="P735" cm="1">
        <f t="array" ref="P73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36" spans="1:16" x14ac:dyDescent="0.25">
      <c r="A736" t="s">
        <v>1519</v>
      </c>
      <c r="B736" s="1">
        <v>46104</v>
      </c>
      <c r="C736" s="4">
        <v>0.42222222222222222</v>
      </c>
      <c r="D736" t="s">
        <v>28</v>
      </c>
      <c r="E736" t="s">
        <v>23</v>
      </c>
      <c r="F736" t="s">
        <v>698</v>
      </c>
      <c r="G736">
        <v>34</v>
      </c>
      <c r="H736" t="s">
        <v>849</v>
      </c>
      <c r="I736" t="s">
        <v>25</v>
      </c>
      <c r="J736">
        <v>40</v>
      </c>
      <c r="K736">
        <v>65</v>
      </c>
      <c r="L736">
        <v>3.6</v>
      </c>
      <c r="M736" t="s">
        <v>14</v>
      </c>
      <c r="N736" s="2">
        <v>701.58</v>
      </c>
      <c r="O736" s="2" t="str">
        <f>IF(EHR_Export[[#This Row],[Arrival Time]]&lt;=TIME(7,0,0), "Night", IF(EHR_Export[[#This Row],[Arrival Time]]&lt;TIME(15,0,0), "Day", "Evening"))</f>
        <v>Day</v>
      </c>
      <c r="P736" cm="1">
        <f t="array" ref="P73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37" spans="1:16" x14ac:dyDescent="0.25">
      <c r="A737" t="s">
        <v>846</v>
      </c>
      <c r="B737" s="1">
        <v>46105</v>
      </c>
      <c r="C737" s="4">
        <v>2.9861111111111113E-2</v>
      </c>
      <c r="D737" t="s">
        <v>126</v>
      </c>
      <c r="E737" t="s">
        <v>46</v>
      </c>
      <c r="F737" t="s">
        <v>12</v>
      </c>
      <c r="G737">
        <v>33</v>
      </c>
      <c r="H737" t="s">
        <v>847</v>
      </c>
      <c r="I737" t="s">
        <v>13</v>
      </c>
      <c r="J737">
        <v>39</v>
      </c>
      <c r="K737">
        <v>10</v>
      </c>
      <c r="L737">
        <v>3.9</v>
      </c>
      <c r="M737" t="s">
        <v>14</v>
      </c>
      <c r="N737" s="2">
        <v>1411.93</v>
      </c>
      <c r="O737" s="2" t="str">
        <f>IF(EHR_Export[[#This Row],[Arrival Time]]&lt;=TIME(7,0,0), "Night", IF(EHR_Export[[#This Row],[Arrival Time]]&lt;TIME(15,0,0), "Day", "Evening"))</f>
        <v>Night</v>
      </c>
      <c r="P737" cm="1">
        <f t="array" ref="P73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738" spans="1:16" x14ac:dyDescent="0.25">
      <c r="A738" t="s">
        <v>1102</v>
      </c>
      <c r="B738" s="1">
        <v>46105</v>
      </c>
      <c r="C738" s="4">
        <v>0.50208333333333333</v>
      </c>
      <c r="D738" t="s">
        <v>58</v>
      </c>
      <c r="E738" t="s">
        <v>842</v>
      </c>
      <c r="F738" t="s">
        <v>281</v>
      </c>
      <c r="G738">
        <v>72</v>
      </c>
      <c r="H738" t="s">
        <v>849</v>
      </c>
      <c r="I738" t="s">
        <v>25</v>
      </c>
      <c r="J738">
        <v>52</v>
      </c>
      <c r="K738">
        <v>97</v>
      </c>
      <c r="L738">
        <v>2.7</v>
      </c>
      <c r="M738" t="s">
        <v>14</v>
      </c>
      <c r="N738" s="2">
        <v>2024.16</v>
      </c>
      <c r="O738" s="2" t="str">
        <f>IF(EHR_Export[[#This Row],[Arrival Time]]&lt;=TIME(7,0,0), "Night", IF(EHR_Export[[#This Row],[Arrival Time]]&lt;TIME(15,0,0), "Day", "Evening"))</f>
        <v>Day</v>
      </c>
      <c r="P738" cm="1">
        <f t="array" ref="P73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739" spans="1:16" x14ac:dyDescent="0.25">
      <c r="A739" t="s">
        <v>1137</v>
      </c>
      <c r="B739" s="1">
        <v>46105</v>
      </c>
      <c r="C739" s="4">
        <v>0.51666666666666672</v>
      </c>
      <c r="D739" t="s">
        <v>28</v>
      </c>
      <c r="E739" t="s">
        <v>23</v>
      </c>
      <c r="F739" t="s">
        <v>316</v>
      </c>
      <c r="G739">
        <v>58</v>
      </c>
      <c r="H739" t="s">
        <v>847</v>
      </c>
      <c r="I739" t="s">
        <v>25</v>
      </c>
      <c r="J739">
        <v>48</v>
      </c>
      <c r="K739">
        <v>47</v>
      </c>
      <c r="L739">
        <v>2.6</v>
      </c>
      <c r="M739" t="s">
        <v>14</v>
      </c>
      <c r="N739" s="2">
        <v>892.21</v>
      </c>
      <c r="O739" s="2" t="str">
        <f>IF(EHR_Export[[#This Row],[Arrival Time]]&lt;=TIME(7,0,0), "Night", IF(EHR_Export[[#This Row],[Arrival Time]]&lt;TIME(15,0,0), "Day", "Evening"))</f>
        <v>Day</v>
      </c>
      <c r="P739" cm="1">
        <f t="array" ref="P73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40" spans="1:16" x14ac:dyDescent="0.25">
      <c r="A740" t="s">
        <v>1138</v>
      </c>
      <c r="B740" s="1">
        <v>46105</v>
      </c>
      <c r="C740" s="4">
        <v>0.71944444444444444</v>
      </c>
      <c r="D740" t="s">
        <v>28</v>
      </c>
      <c r="E740" t="s">
        <v>23</v>
      </c>
      <c r="F740" t="s">
        <v>317</v>
      </c>
      <c r="G740">
        <v>19</v>
      </c>
      <c r="H740" t="s">
        <v>849</v>
      </c>
      <c r="I740" t="s">
        <v>34</v>
      </c>
      <c r="J740">
        <v>82</v>
      </c>
      <c r="K740">
        <v>30</v>
      </c>
      <c r="L740">
        <v>2.8</v>
      </c>
      <c r="M740" t="s">
        <v>18</v>
      </c>
      <c r="N740" s="2">
        <v>605.01</v>
      </c>
      <c r="O740" s="2" t="str">
        <f>IF(EHR_Export[[#This Row],[Arrival Time]]&lt;=TIME(7,0,0), "Night", IF(EHR_Export[[#This Row],[Arrival Time]]&lt;TIME(15,0,0), "Day", "Evening"))</f>
        <v>Evening</v>
      </c>
      <c r="P740" cm="1">
        <f t="array" ref="P74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41" spans="1:16" x14ac:dyDescent="0.25">
      <c r="A741" t="s">
        <v>1176</v>
      </c>
      <c r="B741" s="1">
        <v>46105</v>
      </c>
      <c r="C741" s="4">
        <v>0.5756944444444444</v>
      </c>
      <c r="D741" t="s">
        <v>21</v>
      </c>
      <c r="E741" t="s">
        <v>53</v>
      </c>
      <c r="F741" t="s">
        <v>355</v>
      </c>
      <c r="G741">
        <v>42</v>
      </c>
      <c r="H741" t="s">
        <v>847</v>
      </c>
      <c r="I741" t="s">
        <v>13</v>
      </c>
      <c r="J741">
        <v>41</v>
      </c>
      <c r="K741">
        <v>58</v>
      </c>
      <c r="L741">
        <v>3.4</v>
      </c>
      <c r="M741" t="s">
        <v>14</v>
      </c>
      <c r="N741" s="2">
        <v>668.45</v>
      </c>
      <c r="O741" s="2" t="str">
        <f>IF(EHR_Export[[#This Row],[Arrival Time]]&lt;=TIME(7,0,0), "Night", IF(EHR_Export[[#This Row],[Arrival Time]]&lt;TIME(15,0,0), "Day", "Evening"))</f>
        <v>Day</v>
      </c>
      <c r="P741" cm="1">
        <f t="array" ref="P74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42" spans="1:16" x14ac:dyDescent="0.25">
      <c r="A742" t="s">
        <v>1452</v>
      </c>
      <c r="B742" s="1">
        <v>46105</v>
      </c>
      <c r="C742" s="4">
        <v>0.25763888888888886</v>
      </c>
      <c r="D742" t="s">
        <v>28</v>
      </c>
      <c r="E742" t="s">
        <v>23</v>
      </c>
      <c r="F742" t="s">
        <v>631</v>
      </c>
      <c r="G742">
        <v>77</v>
      </c>
      <c r="H742" t="s">
        <v>847</v>
      </c>
      <c r="I742" t="s">
        <v>34</v>
      </c>
      <c r="J742">
        <v>51</v>
      </c>
      <c r="K742">
        <v>62</v>
      </c>
      <c r="L742">
        <v>2.6</v>
      </c>
      <c r="M742" t="s">
        <v>14</v>
      </c>
      <c r="N742" s="2">
        <v>968.28</v>
      </c>
      <c r="O742" s="2" t="str">
        <f>IF(EHR_Export[[#This Row],[Arrival Time]]&lt;=TIME(7,0,0), "Night", IF(EHR_Export[[#This Row],[Arrival Time]]&lt;TIME(15,0,0), "Day", "Evening"))</f>
        <v>Night</v>
      </c>
      <c r="P742" cm="1">
        <f t="array" ref="P74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43" spans="1:16" x14ac:dyDescent="0.25">
      <c r="A743" t="s">
        <v>1499</v>
      </c>
      <c r="B743" s="1">
        <v>46105</v>
      </c>
      <c r="C743" s="4">
        <v>0.47569444444444442</v>
      </c>
      <c r="D743" t="s">
        <v>28</v>
      </c>
      <c r="E743" t="s">
        <v>23</v>
      </c>
      <c r="F743" t="s">
        <v>678</v>
      </c>
      <c r="G743">
        <v>0</v>
      </c>
      <c r="H743" t="s">
        <v>849</v>
      </c>
      <c r="I743" t="s">
        <v>13</v>
      </c>
      <c r="J743">
        <v>50</v>
      </c>
      <c r="K743">
        <v>31</v>
      </c>
      <c r="L743">
        <v>3.9</v>
      </c>
      <c r="M743" t="s">
        <v>14</v>
      </c>
      <c r="N743" s="2">
        <v>670.41</v>
      </c>
      <c r="O743" s="2" t="str">
        <f>IF(EHR_Export[[#This Row],[Arrival Time]]&lt;=TIME(7,0,0), "Night", IF(EHR_Export[[#This Row],[Arrival Time]]&lt;TIME(15,0,0), "Day", "Evening"))</f>
        <v>Day</v>
      </c>
      <c r="P743" cm="1">
        <f t="array" ref="P74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44" spans="1:16" x14ac:dyDescent="0.25">
      <c r="A744" t="s">
        <v>1565</v>
      </c>
      <c r="B744" s="1">
        <v>46105</v>
      </c>
      <c r="C744" s="4">
        <v>0.80555555555555558</v>
      </c>
      <c r="D744" t="s">
        <v>28</v>
      </c>
      <c r="E744" t="s">
        <v>23</v>
      </c>
      <c r="F744" t="s">
        <v>744</v>
      </c>
      <c r="G744">
        <v>57</v>
      </c>
      <c r="H744" t="s">
        <v>849</v>
      </c>
      <c r="I744" t="s">
        <v>38</v>
      </c>
      <c r="J744">
        <v>30</v>
      </c>
      <c r="K744">
        <v>45</v>
      </c>
      <c r="L744">
        <v>3</v>
      </c>
      <c r="M744" t="s">
        <v>14</v>
      </c>
      <c r="N744" s="2">
        <v>428.57</v>
      </c>
      <c r="O744" s="2" t="str">
        <f>IF(EHR_Export[[#This Row],[Arrival Time]]&lt;=TIME(7,0,0), "Night", IF(EHR_Export[[#This Row],[Arrival Time]]&lt;TIME(15,0,0), "Day", "Evening"))</f>
        <v>Evening</v>
      </c>
      <c r="P744" cm="1">
        <f t="array" ref="P74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45" spans="1:16" x14ac:dyDescent="0.25">
      <c r="A745" t="s">
        <v>1580</v>
      </c>
      <c r="B745" s="1">
        <v>46105</v>
      </c>
      <c r="C745" s="4">
        <v>0.8125</v>
      </c>
      <c r="D745" t="s">
        <v>58</v>
      </c>
      <c r="E745" t="s">
        <v>842</v>
      </c>
      <c r="F745" t="s">
        <v>759</v>
      </c>
      <c r="G745">
        <v>31</v>
      </c>
      <c r="H745" t="s">
        <v>847</v>
      </c>
      <c r="I745" t="s">
        <v>34</v>
      </c>
      <c r="J745">
        <v>40</v>
      </c>
      <c r="K745">
        <v>106</v>
      </c>
      <c r="L745">
        <v>3.3</v>
      </c>
      <c r="M745" t="s">
        <v>14</v>
      </c>
      <c r="N745" s="2">
        <v>3341.73</v>
      </c>
      <c r="O745" s="2" t="str">
        <f>IF(EHR_Export[[#This Row],[Arrival Time]]&lt;=TIME(7,0,0), "Night", IF(EHR_Export[[#This Row],[Arrival Time]]&lt;TIME(15,0,0), "Day", "Evening"))</f>
        <v>Evening</v>
      </c>
      <c r="P745" cm="1">
        <f t="array" ref="P74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46" spans="1:16" x14ac:dyDescent="0.25">
      <c r="A746" t="s">
        <v>1600</v>
      </c>
      <c r="B746" s="1">
        <v>46105</v>
      </c>
      <c r="C746" s="4">
        <v>0.83263888888888893</v>
      </c>
      <c r="D746" t="s">
        <v>58</v>
      </c>
      <c r="E746" t="s">
        <v>842</v>
      </c>
      <c r="F746" t="s">
        <v>779</v>
      </c>
      <c r="G746">
        <v>34</v>
      </c>
      <c r="H746" t="s">
        <v>847</v>
      </c>
      <c r="I746" t="s">
        <v>13</v>
      </c>
      <c r="J746">
        <v>79</v>
      </c>
      <c r="K746">
        <v>91</v>
      </c>
      <c r="L746">
        <v>3.8</v>
      </c>
      <c r="M746" t="s">
        <v>14</v>
      </c>
      <c r="N746" s="2">
        <v>2735.01</v>
      </c>
      <c r="O746" s="2" t="str">
        <f>IF(EHR_Export[[#This Row],[Arrival Time]]&lt;=TIME(7,0,0), "Night", IF(EHR_Export[[#This Row],[Arrival Time]]&lt;TIME(15,0,0), "Day", "Evening"))</f>
        <v>Evening</v>
      </c>
      <c r="P746" cm="1">
        <f t="array" ref="P74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47" spans="1:16" x14ac:dyDescent="0.25">
      <c r="A747" t="s">
        <v>1605</v>
      </c>
      <c r="B747" s="1">
        <v>46105</v>
      </c>
      <c r="C747" s="4">
        <v>0.74930555555555556</v>
      </c>
      <c r="D747" t="s">
        <v>58</v>
      </c>
      <c r="E747" t="s">
        <v>842</v>
      </c>
      <c r="F747" t="s">
        <v>784</v>
      </c>
      <c r="G747">
        <v>5</v>
      </c>
      <c r="H747" t="s">
        <v>849</v>
      </c>
      <c r="I747" t="s">
        <v>25</v>
      </c>
      <c r="J747">
        <v>56</v>
      </c>
      <c r="K747">
        <v>82</v>
      </c>
      <c r="M747" t="s">
        <v>14</v>
      </c>
      <c r="N747" s="2">
        <v>4922.8599999999997</v>
      </c>
      <c r="O747" s="2" t="str">
        <f>IF(EHR_Export[[#This Row],[Arrival Time]]&lt;=TIME(7,0,0), "Night", IF(EHR_Export[[#This Row],[Arrival Time]]&lt;TIME(15,0,0), "Day", "Evening"))</f>
        <v>Evening</v>
      </c>
      <c r="P747" cm="1">
        <f t="array" ref="P74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48" spans="1:16" x14ac:dyDescent="0.25">
      <c r="A748" t="s">
        <v>879</v>
      </c>
      <c r="B748" s="1">
        <v>46106</v>
      </c>
      <c r="C748" s="4">
        <v>0.76527777777777772</v>
      </c>
      <c r="D748" t="s">
        <v>28</v>
      </c>
      <c r="E748" t="s">
        <v>23</v>
      </c>
      <c r="F748" t="s">
        <v>56</v>
      </c>
      <c r="G748">
        <v>58</v>
      </c>
      <c r="H748" t="s">
        <v>849</v>
      </c>
      <c r="I748" t="s">
        <v>38</v>
      </c>
      <c r="J748">
        <v>64</v>
      </c>
      <c r="K748">
        <v>41</v>
      </c>
      <c r="L748">
        <v>3.8</v>
      </c>
      <c r="M748" t="s">
        <v>18</v>
      </c>
      <c r="N748" s="2">
        <v>924.18</v>
      </c>
      <c r="O748" s="2" t="str">
        <f>IF(EHR_Export[[#This Row],[Arrival Time]]&lt;=TIME(7,0,0), "Night", IF(EHR_Export[[#This Row],[Arrival Time]]&lt;TIME(15,0,0), "Day", "Evening"))</f>
        <v>Evening</v>
      </c>
      <c r="P748" cm="1">
        <f t="array" ref="P74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49" spans="1:16" x14ac:dyDescent="0.25">
      <c r="A749" t="s">
        <v>964</v>
      </c>
      <c r="B749" s="1">
        <v>46106</v>
      </c>
      <c r="C749" s="4">
        <v>0.75</v>
      </c>
      <c r="D749" t="s">
        <v>58</v>
      </c>
      <c r="E749" t="s">
        <v>842</v>
      </c>
      <c r="F749" t="s">
        <v>143</v>
      </c>
      <c r="G749">
        <v>16</v>
      </c>
      <c r="H749" t="s">
        <v>847</v>
      </c>
      <c r="I749" t="s">
        <v>38</v>
      </c>
      <c r="J749">
        <v>97</v>
      </c>
      <c r="K749">
        <v>82</v>
      </c>
      <c r="L749">
        <v>3</v>
      </c>
      <c r="M749" t="s">
        <v>14</v>
      </c>
      <c r="N749" s="2">
        <v>3262.45</v>
      </c>
      <c r="O749" s="2" t="str">
        <f>IF(EHR_Export[[#This Row],[Arrival Time]]&lt;=TIME(7,0,0), "Night", IF(EHR_Export[[#This Row],[Arrival Time]]&lt;TIME(15,0,0), "Day", "Evening"))</f>
        <v>Evening</v>
      </c>
      <c r="P749" cm="1">
        <f t="array" ref="P74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50" spans="1:16" x14ac:dyDescent="0.25">
      <c r="A750" t="s">
        <v>1077</v>
      </c>
      <c r="B750" s="1">
        <v>46106</v>
      </c>
      <c r="C750" s="4">
        <v>0.51597222222222228</v>
      </c>
      <c r="D750" t="s">
        <v>28</v>
      </c>
      <c r="E750" t="s">
        <v>23</v>
      </c>
      <c r="F750" t="s">
        <v>256</v>
      </c>
      <c r="G750">
        <v>32</v>
      </c>
      <c r="H750" t="s">
        <v>849</v>
      </c>
      <c r="I750" t="s">
        <v>38</v>
      </c>
      <c r="J750">
        <v>36</v>
      </c>
      <c r="K750">
        <v>11</v>
      </c>
      <c r="L750">
        <v>3.1</v>
      </c>
      <c r="M750" t="s">
        <v>14</v>
      </c>
      <c r="N750" s="2">
        <v>945.54</v>
      </c>
      <c r="O750" s="2" t="str">
        <f>IF(EHR_Export[[#This Row],[Arrival Time]]&lt;=TIME(7,0,0), "Night", IF(EHR_Export[[#This Row],[Arrival Time]]&lt;TIME(15,0,0), "Day", "Evening"))</f>
        <v>Day</v>
      </c>
      <c r="P750" cm="1">
        <f t="array" ref="P75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51" spans="1:16" x14ac:dyDescent="0.25">
      <c r="A751" t="s">
        <v>1207</v>
      </c>
      <c r="B751" s="1">
        <v>46106</v>
      </c>
      <c r="C751" s="4">
        <v>0.45277777777777778</v>
      </c>
      <c r="D751" t="s">
        <v>28</v>
      </c>
      <c r="E751" t="s">
        <v>23</v>
      </c>
      <c r="F751" t="s">
        <v>386</v>
      </c>
      <c r="G751">
        <v>66</v>
      </c>
      <c r="H751" t="s">
        <v>847</v>
      </c>
      <c r="I751" t="s">
        <v>34</v>
      </c>
      <c r="J751">
        <v>12</v>
      </c>
      <c r="K751">
        <v>22</v>
      </c>
      <c r="M751" t="s">
        <v>14</v>
      </c>
      <c r="N751" s="2">
        <v>1458.78</v>
      </c>
      <c r="O751" s="2" t="str">
        <f>IF(EHR_Export[[#This Row],[Arrival Time]]&lt;=TIME(7,0,0), "Night", IF(EHR_Export[[#This Row],[Arrival Time]]&lt;TIME(15,0,0), "Day", "Evening"))</f>
        <v>Day</v>
      </c>
      <c r="P751" cm="1">
        <f t="array" ref="P75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52" spans="1:16" x14ac:dyDescent="0.25">
      <c r="A752" t="s">
        <v>1268</v>
      </c>
      <c r="B752" s="1">
        <v>46106</v>
      </c>
      <c r="C752" s="4">
        <v>0.52986111111111112</v>
      </c>
      <c r="D752" t="s">
        <v>48</v>
      </c>
      <c r="E752" t="s">
        <v>42</v>
      </c>
      <c r="F752" t="s">
        <v>447</v>
      </c>
      <c r="G752">
        <v>37</v>
      </c>
      <c r="H752" t="s">
        <v>849</v>
      </c>
      <c r="I752" t="s">
        <v>25</v>
      </c>
      <c r="J752">
        <v>72</v>
      </c>
      <c r="K752">
        <v>54</v>
      </c>
      <c r="L752">
        <v>3.1</v>
      </c>
      <c r="M752" t="s">
        <v>14</v>
      </c>
      <c r="N752" s="2">
        <v>1753.61</v>
      </c>
      <c r="O752" s="2" t="str">
        <f>IF(EHR_Export[[#This Row],[Arrival Time]]&lt;=TIME(7,0,0), "Night", IF(EHR_Export[[#This Row],[Arrival Time]]&lt;TIME(15,0,0), "Day", "Evening"))</f>
        <v>Day</v>
      </c>
      <c r="P752" cm="1">
        <f t="array" ref="P75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53" spans="1:16" x14ac:dyDescent="0.25">
      <c r="A753" t="s">
        <v>1393</v>
      </c>
      <c r="B753" s="1">
        <v>46106</v>
      </c>
      <c r="C753" s="4">
        <v>0.63124999999999998</v>
      </c>
      <c r="D753" t="s">
        <v>21</v>
      </c>
      <c r="E753" t="s">
        <v>53</v>
      </c>
      <c r="F753" t="s">
        <v>572</v>
      </c>
      <c r="G753">
        <v>56</v>
      </c>
      <c r="H753" t="s">
        <v>849</v>
      </c>
      <c r="I753" t="s">
        <v>13</v>
      </c>
      <c r="J753">
        <v>35</v>
      </c>
      <c r="K753">
        <v>45</v>
      </c>
      <c r="L753">
        <v>3.7</v>
      </c>
      <c r="N753" s="2">
        <v>570.82000000000005</v>
      </c>
      <c r="O753" s="2" t="str">
        <f>IF(EHR_Export[[#This Row],[Arrival Time]]&lt;=TIME(7,0,0), "Night", IF(EHR_Export[[#This Row],[Arrival Time]]&lt;TIME(15,0,0), "Day", "Evening"))</f>
        <v>Evening</v>
      </c>
      <c r="P753" cm="1">
        <f t="array" ref="P75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54" spans="1:16" x14ac:dyDescent="0.25">
      <c r="A754" t="s">
        <v>1543</v>
      </c>
      <c r="B754" s="1">
        <v>46106</v>
      </c>
      <c r="C754" s="4">
        <v>0.57777777777777772</v>
      </c>
      <c r="D754" t="s">
        <v>28</v>
      </c>
      <c r="E754" t="s">
        <v>23</v>
      </c>
      <c r="F754" t="s">
        <v>722</v>
      </c>
      <c r="G754">
        <v>31</v>
      </c>
      <c r="H754" t="s">
        <v>847</v>
      </c>
      <c r="I754" t="s">
        <v>34</v>
      </c>
      <c r="J754">
        <v>38</v>
      </c>
      <c r="K754">
        <v>55</v>
      </c>
      <c r="L754">
        <v>3.4</v>
      </c>
      <c r="M754" t="s">
        <v>14</v>
      </c>
      <c r="N754" s="2">
        <v>1118.06</v>
      </c>
      <c r="O754" s="2" t="str">
        <f>IF(EHR_Export[[#This Row],[Arrival Time]]&lt;=TIME(7,0,0), "Night", IF(EHR_Export[[#This Row],[Arrival Time]]&lt;TIME(15,0,0), "Day", "Evening"))</f>
        <v>Day</v>
      </c>
      <c r="P754" cm="1">
        <f t="array" ref="P75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55" spans="1:16" x14ac:dyDescent="0.25">
      <c r="A755" t="s">
        <v>1562</v>
      </c>
      <c r="B755" s="1">
        <v>46106</v>
      </c>
      <c r="C755" s="4">
        <v>0.38680555555555557</v>
      </c>
      <c r="D755" t="s">
        <v>28</v>
      </c>
      <c r="E755" t="s">
        <v>23</v>
      </c>
      <c r="F755" t="s">
        <v>741</v>
      </c>
      <c r="G755">
        <v>72</v>
      </c>
      <c r="H755" t="s">
        <v>849</v>
      </c>
      <c r="I755" t="s">
        <v>34</v>
      </c>
      <c r="J755">
        <v>31</v>
      </c>
      <c r="K755">
        <v>44</v>
      </c>
      <c r="L755">
        <v>2.7</v>
      </c>
      <c r="M755" t="s">
        <v>14</v>
      </c>
      <c r="N755" s="2">
        <v>890.15</v>
      </c>
      <c r="O755" s="2" t="str">
        <f>IF(EHR_Export[[#This Row],[Arrival Time]]&lt;=TIME(7,0,0), "Night", IF(EHR_Export[[#This Row],[Arrival Time]]&lt;TIME(15,0,0), "Day", "Evening"))</f>
        <v>Day</v>
      </c>
      <c r="P755" cm="1">
        <f t="array" ref="P75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56" spans="1:16" x14ac:dyDescent="0.25">
      <c r="A756" t="s">
        <v>1393</v>
      </c>
      <c r="B756" s="1">
        <v>46106</v>
      </c>
      <c r="C756" s="4">
        <v>0.63124999999999998</v>
      </c>
      <c r="D756" t="s">
        <v>21</v>
      </c>
      <c r="E756" t="s">
        <v>53</v>
      </c>
      <c r="F756" t="s">
        <v>572</v>
      </c>
      <c r="G756">
        <v>56</v>
      </c>
      <c r="H756" t="s">
        <v>849</v>
      </c>
      <c r="I756" t="s">
        <v>13</v>
      </c>
      <c r="J756">
        <v>35</v>
      </c>
      <c r="K756">
        <v>45</v>
      </c>
      <c r="L756">
        <v>3.7</v>
      </c>
      <c r="N756" s="2">
        <v>570.82000000000005</v>
      </c>
      <c r="O756" s="2" t="str">
        <f>IF(EHR_Export[[#This Row],[Arrival Time]]&lt;=TIME(7,0,0), "Night", IF(EHR_Export[[#This Row],[Arrival Time]]&lt;TIME(15,0,0), "Day", "Evening"))</f>
        <v>Evening</v>
      </c>
      <c r="P756" cm="1">
        <f t="array" ref="P75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57" spans="1:16" x14ac:dyDescent="0.25">
      <c r="A757" t="s">
        <v>922</v>
      </c>
      <c r="B757" s="1">
        <v>46107</v>
      </c>
      <c r="C757" s="4">
        <v>0.98402777777777772</v>
      </c>
      <c r="D757" t="s">
        <v>48</v>
      </c>
      <c r="E757" t="s">
        <v>42</v>
      </c>
      <c r="F757" t="s">
        <v>100</v>
      </c>
      <c r="G757">
        <v>23</v>
      </c>
      <c r="H757" t="s">
        <v>849</v>
      </c>
      <c r="I757" t="s">
        <v>38</v>
      </c>
      <c r="J757">
        <v>55</v>
      </c>
      <c r="K757">
        <v>48</v>
      </c>
      <c r="L757">
        <v>4</v>
      </c>
      <c r="M757" t="s">
        <v>18</v>
      </c>
      <c r="N757" s="2">
        <v>471.64</v>
      </c>
      <c r="O757" s="2" t="str">
        <f>IF(EHR_Export[[#This Row],[Arrival Time]]&lt;=TIME(7,0,0), "Night", IF(EHR_Export[[#This Row],[Arrival Time]]&lt;TIME(15,0,0), "Day", "Evening"))</f>
        <v>Evening</v>
      </c>
      <c r="P757" cm="1">
        <f t="array" ref="P75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58" spans="1:16" x14ac:dyDescent="0.25">
      <c r="A758" t="s">
        <v>982</v>
      </c>
      <c r="B758" s="1">
        <v>46107</v>
      </c>
      <c r="C758" s="4">
        <v>0.41249999999999998</v>
      </c>
      <c r="D758" t="s">
        <v>126</v>
      </c>
      <c r="E758" t="s">
        <v>46</v>
      </c>
      <c r="F758" t="s">
        <v>161</v>
      </c>
      <c r="G758">
        <v>34</v>
      </c>
      <c r="H758" t="s">
        <v>849</v>
      </c>
      <c r="I758" t="s">
        <v>25</v>
      </c>
      <c r="J758">
        <v>43</v>
      </c>
      <c r="K758">
        <v>45</v>
      </c>
      <c r="L758">
        <v>3.5</v>
      </c>
      <c r="M758" t="s">
        <v>14</v>
      </c>
      <c r="N758" s="2">
        <v>1568.66</v>
      </c>
      <c r="O758" s="2" t="str">
        <f>IF(EHR_Export[[#This Row],[Arrival Time]]&lt;=TIME(7,0,0), "Night", IF(EHR_Export[[#This Row],[Arrival Time]]&lt;TIME(15,0,0), "Day", "Evening"))</f>
        <v>Day</v>
      </c>
      <c r="P758" cm="1">
        <f t="array" ref="P75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59" spans="1:16" x14ac:dyDescent="0.25">
      <c r="A759" t="s">
        <v>1274</v>
      </c>
      <c r="B759" s="1">
        <v>46107</v>
      </c>
      <c r="C759" s="4">
        <v>0.70416666666666672</v>
      </c>
      <c r="D759" t="s">
        <v>21</v>
      </c>
      <c r="E759" t="s">
        <v>53</v>
      </c>
      <c r="F759" t="s">
        <v>453</v>
      </c>
      <c r="G759">
        <v>25</v>
      </c>
      <c r="H759" t="s">
        <v>849</v>
      </c>
      <c r="I759" t="s">
        <v>38</v>
      </c>
      <c r="J759">
        <v>64</v>
      </c>
      <c r="K759">
        <v>64</v>
      </c>
      <c r="L759">
        <v>3.3</v>
      </c>
      <c r="M759" t="s">
        <v>14</v>
      </c>
      <c r="N759" s="2">
        <v>726.87</v>
      </c>
      <c r="O759" s="2" t="str">
        <f>IF(EHR_Export[[#This Row],[Arrival Time]]&lt;=TIME(7,0,0), "Night", IF(EHR_Export[[#This Row],[Arrival Time]]&lt;TIME(15,0,0), "Day", "Evening"))</f>
        <v>Evening</v>
      </c>
      <c r="P759" cm="1">
        <f t="array" ref="P75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60" spans="1:16" x14ac:dyDescent="0.25">
      <c r="A760" t="s">
        <v>1365</v>
      </c>
      <c r="B760" s="1">
        <v>46107</v>
      </c>
      <c r="C760" s="4">
        <v>0.73333333333333328</v>
      </c>
      <c r="D760" t="s">
        <v>58</v>
      </c>
      <c r="E760" t="s">
        <v>842</v>
      </c>
      <c r="F760" t="s">
        <v>544</v>
      </c>
      <c r="G760">
        <v>41</v>
      </c>
      <c r="H760" t="s">
        <v>847</v>
      </c>
      <c r="I760" t="s">
        <v>25</v>
      </c>
      <c r="J760">
        <v>93</v>
      </c>
      <c r="K760">
        <v>89</v>
      </c>
      <c r="L760">
        <v>2.1</v>
      </c>
      <c r="M760" t="s">
        <v>14</v>
      </c>
      <c r="N760" s="2">
        <v>5533.92</v>
      </c>
      <c r="O760" s="2" t="str">
        <f>IF(EHR_Export[[#This Row],[Arrival Time]]&lt;=TIME(7,0,0), "Night", IF(EHR_Export[[#This Row],[Arrival Time]]&lt;TIME(15,0,0), "Day", "Evening"))</f>
        <v>Evening</v>
      </c>
      <c r="P760" cm="1">
        <f t="array" ref="P76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761" spans="1:16" x14ac:dyDescent="0.25">
      <c r="A761" t="s">
        <v>1377</v>
      </c>
      <c r="B761" s="1">
        <v>46107</v>
      </c>
      <c r="C761" s="4">
        <v>0.95763888888888893</v>
      </c>
      <c r="D761" t="s">
        <v>48</v>
      </c>
      <c r="E761" t="s">
        <v>42</v>
      </c>
      <c r="F761" t="s">
        <v>556</v>
      </c>
      <c r="G761">
        <v>54</v>
      </c>
      <c r="H761" t="s">
        <v>847</v>
      </c>
      <c r="I761" t="s">
        <v>34</v>
      </c>
      <c r="J761">
        <v>80</v>
      </c>
      <c r="K761">
        <v>56</v>
      </c>
      <c r="L761">
        <v>4.5</v>
      </c>
      <c r="M761" t="s">
        <v>14</v>
      </c>
      <c r="N761" s="2">
        <v>1939.7</v>
      </c>
      <c r="O761" s="2" t="str">
        <f>IF(EHR_Export[[#This Row],[Arrival Time]]&lt;=TIME(7,0,0), "Night", IF(EHR_Export[[#This Row],[Arrival Time]]&lt;TIME(15,0,0), "Day", "Evening"))</f>
        <v>Evening</v>
      </c>
      <c r="P761" cm="1">
        <f t="array" ref="P76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62" spans="1:16" x14ac:dyDescent="0.25">
      <c r="A762" t="s">
        <v>1406</v>
      </c>
      <c r="B762" s="1">
        <v>46107</v>
      </c>
      <c r="C762" s="4">
        <v>0.74583333333333335</v>
      </c>
      <c r="D762" t="s">
        <v>28</v>
      </c>
      <c r="E762" t="s">
        <v>23</v>
      </c>
      <c r="F762" t="s">
        <v>585</v>
      </c>
      <c r="G762">
        <v>1</v>
      </c>
      <c r="H762" t="s">
        <v>847</v>
      </c>
      <c r="I762" t="s">
        <v>25</v>
      </c>
      <c r="J762">
        <v>43</v>
      </c>
      <c r="K762">
        <v>10</v>
      </c>
      <c r="L762">
        <v>3.6</v>
      </c>
      <c r="M762" t="s">
        <v>14</v>
      </c>
      <c r="N762" s="2">
        <v>752.01</v>
      </c>
      <c r="O762" s="2" t="str">
        <f>IF(EHR_Export[[#This Row],[Arrival Time]]&lt;=TIME(7,0,0), "Night", IF(EHR_Export[[#This Row],[Arrival Time]]&lt;TIME(15,0,0), "Day", "Evening"))</f>
        <v>Evening</v>
      </c>
      <c r="P762" cm="1">
        <f t="array" ref="P76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63" spans="1:16" x14ac:dyDescent="0.25">
      <c r="A763" t="s">
        <v>1411</v>
      </c>
      <c r="B763" s="1">
        <v>46107</v>
      </c>
      <c r="C763" s="4">
        <v>0.63194444444444442</v>
      </c>
      <c r="D763" t="s">
        <v>126</v>
      </c>
      <c r="E763" t="s">
        <v>46</v>
      </c>
      <c r="F763" t="s">
        <v>590</v>
      </c>
      <c r="G763">
        <v>46</v>
      </c>
      <c r="H763" t="s">
        <v>847</v>
      </c>
      <c r="I763" t="s">
        <v>13</v>
      </c>
      <c r="J763">
        <v>33</v>
      </c>
      <c r="K763">
        <v>75</v>
      </c>
      <c r="L763">
        <v>3.3</v>
      </c>
      <c r="M763" t="s">
        <v>14</v>
      </c>
      <c r="N763" s="2">
        <v>1829.48</v>
      </c>
      <c r="O763" s="2" t="str">
        <f>IF(EHR_Export[[#This Row],[Arrival Time]]&lt;=TIME(7,0,0), "Night", IF(EHR_Export[[#This Row],[Arrival Time]]&lt;TIME(15,0,0), "Day", "Evening"))</f>
        <v>Evening</v>
      </c>
      <c r="P763" cm="1">
        <f t="array" ref="P76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64" spans="1:16" x14ac:dyDescent="0.25">
      <c r="A764" t="s">
        <v>1406</v>
      </c>
      <c r="B764" s="1">
        <v>46107</v>
      </c>
      <c r="C764" s="4">
        <v>0.74583333333333335</v>
      </c>
      <c r="D764" t="s">
        <v>28</v>
      </c>
      <c r="E764" t="s">
        <v>23</v>
      </c>
      <c r="F764" t="s">
        <v>585</v>
      </c>
      <c r="G764">
        <v>1</v>
      </c>
      <c r="H764" t="s">
        <v>847</v>
      </c>
      <c r="I764" t="s">
        <v>25</v>
      </c>
      <c r="J764">
        <v>43</v>
      </c>
      <c r="K764">
        <v>10</v>
      </c>
      <c r="L764">
        <v>3.6</v>
      </c>
      <c r="M764" t="s">
        <v>14</v>
      </c>
      <c r="N764" s="2">
        <v>752.01</v>
      </c>
      <c r="O764" s="2" t="str">
        <f>IF(EHR_Export[[#This Row],[Arrival Time]]&lt;=TIME(7,0,0), "Night", IF(EHR_Export[[#This Row],[Arrival Time]]&lt;TIME(15,0,0), "Day", "Evening"))</f>
        <v>Evening</v>
      </c>
      <c r="P764" cm="1">
        <f t="array" ref="P76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65" spans="1:16" x14ac:dyDescent="0.25">
      <c r="A765" t="s">
        <v>1480</v>
      </c>
      <c r="B765" s="1">
        <v>46107</v>
      </c>
      <c r="C765" s="4">
        <v>0.74652777777777779</v>
      </c>
      <c r="D765" t="s">
        <v>28</v>
      </c>
      <c r="E765" t="s">
        <v>23</v>
      </c>
      <c r="F765" t="s">
        <v>659</v>
      </c>
      <c r="G765">
        <v>36</v>
      </c>
      <c r="H765" t="s">
        <v>849</v>
      </c>
      <c r="I765" t="s">
        <v>34</v>
      </c>
      <c r="J765">
        <v>83</v>
      </c>
      <c r="K765">
        <v>48</v>
      </c>
      <c r="L765">
        <v>3.7</v>
      </c>
      <c r="M765" t="s">
        <v>14</v>
      </c>
      <c r="N765" s="2">
        <v>1003.69</v>
      </c>
      <c r="O765" s="2" t="str">
        <f>IF(EHR_Export[[#This Row],[Arrival Time]]&lt;=TIME(7,0,0), "Night", IF(EHR_Export[[#This Row],[Arrival Time]]&lt;TIME(15,0,0), "Day", "Evening"))</f>
        <v>Evening</v>
      </c>
      <c r="P765" cm="1">
        <f t="array" ref="P76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66" spans="1:16" x14ac:dyDescent="0.25">
      <c r="A766" t="s">
        <v>1541</v>
      </c>
      <c r="B766" s="1">
        <v>46107</v>
      </c>
      <c r="C766" s="4">
        <v>0.54166666666666663</v>
      </c>
      <c r="D766" t="s">
        <v>21</v>
      </c>
      <c r="E766" t="s">
        <v>53</v>
      </c>
      <c r="F766" t="s">
        <v>720</v>
      </c>
      <c r="G766">
        <v>13</v>
      </c>
      <c r="H766" t="s">
        <v>849</v>
      </c>
      <c r="I766" t="s">
        <v>13</v>
      </c>
      <c r="J766">
        <v>36</v>
      </c>
      <c r="K766">
        <v>28</v>
      </c>
      <c r="L766">
        <v>4.3</v>
      </c>
      <c r="M766" t="s">
        <v>18</v>
      </c>
      <c r="N766" s="2">
        <v>949.36</v>
      </c>
      <c r="O766" s="2" t="str">
        <f>IF(EHR_Export[[#This Row],[Arrival Time]]&lt;=TIME(7,0,0), "Night", IF(EHR_Export[[#This Row],[Arrival Time]]&lt;TIME(15,0,0), "Day", "Evening"))</f>
        <v>Day</v>
      </c>
      <c r="P766" cm="1">
        <f t="array" ref="P76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67" spans="1:16" x14ac:dyDescent="0.25">
      <c r="A767" t="s">
        <v>1624</v>
      </c>
      <c r="B767" s="1">
        <v>46107</v>
      </c>
      <c r="C767" s="4">
        <v>0.28611111111111109</v>
      </c>
      <c r="D767" t="s">
        <v>28</v>
      </c>
      <c r="E767" t="s">
        <v>23</v>
      </c>
      <c r="F767" t="s">
        <v>803</v>
      </c>
      <c r="G767">
        <v>52</v>
      </c>
      <c r="H767" t="s">
        <v>847</v>
      </c>
      <c r="I767" t="s">
        <v>25</v>
      </c>
      <c r="J767">
        <v>50</v>
      </c>
      <c r="K767">
        <v>55</v>
      </c>
      <c r="L767">
        <v>3.2</v>
      </c>
      <c r="M767" t="s">
        <v>14</v>
      </c>
      <c r="N767" s="2">
        <v>1132.57</v>
      </c>
      <c r="O767" s="2" t="str">
        <f>IF(EHR_Export[[#This Row],[Arrival Time]]&lt;=TIME(7,0,0), "Night", IF(EHR_Export[[#This Row],[Arrival Time]]&lt;TIME(15,0,0), "Day", "Evening"))</f>
        <v>Night</v>
      </c>
      <c r="P767" cm="1">
        <f t="array" ref="P76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68" spans="1:16" x14ac:dyDescent="0.25">
      <c r="A768" t="s">
        <v>1635</v>
      </c>
      <c r="B768" s="1">
        <v>46107</v>
      </c>
      <c r="C768" s="4">
        <v>0.70208333333333328</v>
      </c>
      <c r="D768" t="s">
        <v>28</v>
      </c>
      <c r="E768" t="s">
        <v>23</v>
      </c>
      <c r="F768" t="s">
        <v>814</v>
      </c>
      <c r="G768">
        <v>44</v>
      </c>
      <c r="H768" t="s">
        <v>849</v>
      </c>
      <c r="I768" t="s">
        <v>13</v>
      </c>
      <c r="J768">
        <v>62</v>
      </c>
      <c r="K768">
        <v>79</v>
      </c>
      <c r="L768">
        <v>3.5</v>
      </c>
      <c r="M768" t="s">
        <v>14</v>
      </c>
      <c r="N768" s="2">
        <v>701.91</v>
      </c>
      <c r="O768" s="2" t="str">
        <f>IF(EHR_Export[[#This Row],[Arrival Time]]&lt;=TIME(7,0,0), "Night", IF(EHR_Export[[#This Row],[Arrival Time]]&lt;TIME(15,0,0), "Day", "Evening"))</f>
        <v>Evening</v>
      </c>
      <c r="P768" cm="1">
        <f t="array" ref="P76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10</v>
      </c>
    </row>
    <row r="769" spans="1:16" x14ac:dyDescent="0.25">
      <c r="A769" t="s">
        <v>1162</v>
      </c>
      <c r="B769" s="1">
        <v>46108</v>
      </c>
      <c r="C769" s="4">
        <v>0.50069444444444444</v>
      </c>
      <c r="D769" t="s">
        <v>58</v>
      </c>
      <c r="E769" t="s">
        <v>842</v>
      </c>
      <c r="F769" t="s">
        <v>341</v>
      </c>
      <c r="G769">
        <v>45</v>
      </c>
      <c r="H769" t="s">
        <v>847</v>
      </c>
      <c r="I769" t="s">
        <v>13</v>
      </c>
      <c r="J769">
        <v>90</v>
      </c>
      <c r="K769">
        <v>118</v>
      </c>
      <c r="L769">
        <v>3.8</v>
      </c>
      <c r="M769" t="s">
        <v>14</v>
      </c>
      <c r="N769" s="2">
        <v>3150.23</v>
      </c>
      <c r="O769" s="2" t="str">
        <f>IF(EHR_Export[[#This Row],[Arrival Time]]&lt;=TIME(7,0,0), "Night", IF(EHR_Export[[#This Row],[Arrival Time]]&lt;TIME(15,0,0), "Day", "Evening"))</f>
        <v>Day</v>
      </c>
      <c r="P769" cm="1">
        <f t="array" ref="P76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70" spans="1:16" x14ac:dyDescent="0.25">
      <c r="A770" t="s">
        <v>1211</v>
      </c>
      <c r="B770" s="1">
        <v>46108</v>
      </c>
      <c r="C770" s="4">
        <v>0.99305555555555558</v>
      </c>
      <c r="D770" t="s">
        <v>28</v>
      </c>
      <c r="E770" t="s">
        <v>23</v>
      </c>
      <c r="F770" t="s">
        <v>390</v>
      </c>
      <c r="G770">
        <v>14</v>
      </c>
      <c r="H770" t="s">
        <v>849</v>
      </c>
      <c r="I770" t="s">
        <v>34</v>
      </c>
      <c r="J770">
        <v>37</v>
      </c>
      <c r="K770">
        <v>10</v>
      </c>
      <c r="M770" t="s">
        <v>14</v>
      </c>
      <c r="N770" s="2">
        <v>1293.18</v>
      </c>
      <c r="O770" s="2" t="str">
        <f>IF(EHR_Export[[#This Row],[Arrival Time]]&lt;=TIME(7,0,0), "Night", IF(EHR_Export[[#This Row],[Arrival Time]]&lt;TIME(15,0,0), "Day", "Evening"))</f>
        <v>Evening</v>
      </c>
      <c r="P770" cm="1">
        <f t="array" ref="P77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71" spans="1:16" x14ac:dyDescent="0.25">
      <c r="A771" t="s">
        <v>1456</v>
      </c>
      <c r="B771" s="1">
        <v>46108</v>
      </c>
      <c r="C771" s="4">
        <v>0.18402777777777779</v>
      </c>
      <c r="D771" t="s">
        <v>28</v>
      </c>
      <c r="E771" t="s">
        <v>23</v>
      </c>
      <c r="F771" t="s">
        <v>635</v>
      </c>
      <c r="G771">
        <v>46</v>
      </c>
      <c r="H771" t="s">
        <v>849</v>
      </c>
      <c r="I771" t="s">
        <v>13</v>
      </c>
      <c r="J771">
        <v>58</v>
      </c>
      <c r="K771">
        <v>66</v>
      </c>
      <c r="L771">
        <v>3.6</v>
      </c>
      <c r="M771" t="s">
        <v>14</v>
      </c>
      <c r="N771" s="2">
        <v>906.22</v>
      </c>
      <c r="O771" s="2" t="str">
        <f>IF(EHR_Export[[#This Row],[Arrival Time]]&lt;=TIME(7,0,0), "Night", IF(EHR_Export[[#This Row],[Arrival Time]]&lt;TIME(15,0,0), "Day", "Evening"))</f>
        <v>Night</v>
      </c>
      <c r="P771" cm="1">
        <f t="array" ref="P77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72" spans="1:16" x14ac:dyDescent="0.25">
      <c r="A772" t="s">
        <v>1470</v>
      </c>
      <c r="B772" s="1">
        <v>46108</v>
      </c>
      <c r="C772" s="4">
        <v>0.30208333333333331</v>
      </c>
      <c r="D772" t="s">
        <v>48</v>
      </c>
      <c r="E772" t="s">
        <v>42</v>
      </c>
      <c r="F772" t="s">
        <v>649</v>
      </c>
      <c r="G772">
        <v>30</v>
      </c>
      <c r="H772" t="s">
        <v>849</v>
      </c>
      <c r="I772" t="s">
        <v>34</v>
      </c>
      <c r="J772">
        <v>69</v>
      </c>
      <c r="K772">
        <v>35</v>
      </c>
      <c r="L772">
        <v>2.4</v>
      </c>
      <c r="M772" t="s">
        <v>14</v>
      </c>
      <c r="N772" s="2">
        <v>1116.19</v>
      </c>
      <c r="O772" s="2" t="str">
        <f>IF(EHR_Export[[#This Row],[Arrival Time]]&lt;=TIME(7,0,0), "Night", IF(EHR_Export[[#This Row],[Arrival Time]]&lt;TIME(15,0,0), "Day", "Evening"))</f>
        <v>Day</v>
      </c>
      <c r="P772" cm="1">
        <f t="array" ref="P77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73" spans="1:16" x14ac:dyDescent="0.25">
      <c r="A773" t="s">
        <v>1490</v>
      </c>
      <c r="B773" s="1">
        <v>46108</v>
      </c>
      <c r="C773" s="4">
        <v>0.56111111111111112</v>
      </c>
      <c r="D773" t="s">
        <v>58</v>
      </c>
      <c r="E773" t="s">
        <v>842</v>
      </c>
      <c r="F773" t="s">
        <v>669</v>
      </c>
      <c r="G773">
        <v>51</v>
      </c>
      <c r="H773" t="s">
        <v>849</v>
      </c>
      <c r="I773" t="s">
        <v>25</v>
      </c>
      <c r="J773">
        <v>73</v>
      </c>
      <c r="K773">
        <v>99</v>
      </c>
      <c r="L773">
        <v>3.2</v>
      </c>
      <c r="M773" t="s">
        <v>14</v>
      </c>
      <c r="N773" s="2">
        <v>3127.39</v>
      </c>
      <c r="O773" s="2" t="str">
        <f>IF(EHR_Export[[#This Row],[Arrival Time]]&lt;=TIME(7,0,0), "Night", IF(EHR_Export[[#This Row],[Arrival Time]]&lt;TIME(15,0,0), "Day", "Evening"))</f>
        <v>Day</v>
      </c>
      <c r="P773" cm="1">
        <f t="array" ref="P77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74" spans="1:16" x14ac:dyDescent="0.25">
      <c r="A774" t="s">
        <v>1500</v>
      </c>
      <c r="B774" s="1">
        <v>46108</v>
      </c>
      <c r="C774" s="4">
        <v>0.87291666666666667</v>
      </c>
      <c r="D774" t="s">
        <v>126</v>
      </c>
      <c r="E774" t="s">
        <v>46</v>
      </c>
      <c r="F774" t="s">
        <v>679</v>
      </c>
      <c r="G774">
        <v>64</v>
      </c>
      <c r="H774" t="s">
        <v>847</v>
      </c>
      <c r="I774" t="s">
        <v>38</v>
      </c>
      <c r="J774">
        <v>37</v>
      </c>
      <c r="K774">
        <v>49</v>
      </c>
      <c r="L774">
        <v>2.7</v>
      </c>
      <c r="M774" t="s">
        <v>14</v>
      </c>
      <c r="N774" s="2">
        <v>1853.85</v>
      </c>
      <c r="O774" s="2" t="str">
        <f>IF(EHR_Export[[#This Row],[Arrival Time]]&lt;=TIME(7,0,0), "Night", IF(EHR_Export[[#This Row],[Arrival Time]]&lt;TIME(15,0,0), "Day", "Evening"))</f>
        <v>Evening</v>
      </c>
      <c r="P774" cm="1">
        <f t="array" ref="P77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775" spans="1:16" x14ac:dyDescent="0.25">
      <c r="A775" t="s">
        <v>1563</v>
      </c>
      <c r="B775" s="1">
        <v>46108</v>
      </c>
      <c r="C775" s="4">
        <v>0.31805555555555554</v>
      </c>
      <c r="D775" t="s">
        <v>28</v>
      </c>
      <c r="E775" t="s">
        <v>23</v>
      </c>
      <c r="F775" t="s">
        <v>742</v>
      </c>
      <c r="G775">
        <v>32</v>
      </c>
      <c r="H775" t="s">
        <v>847</v>
      </c>
      <c r="I775" t="s">
        <v>13</v>
      </c>
      <c r="J775">
        <v>46</v>
      </c>
      <c r="K775">
        <v>28</v>
      </c>
      <c r="L775">
        <v>3.8</v>
      </c>
      <c r="M775" t="s">
        <v>14</v>
      </c>
      <c r="N775" s="2">
        <v>1140.55</v>
      </c>
      <c r="O775" s="2" t="str">
        <f>IF(EHR_Export[[#This Row],[Arrival Time]]&lt;=TIME(7,0,0), "Night", IF(EHR_Export[[#This Row],[Arrival Time]]&lt;TIME(15,0,0), "Day", "Evening"))</f>
        <v>Day</v>
      </c>
      <c r="P775" cm="1">
        <f t="array" ref="P77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776" spans="1:16" x14ac:dyDescent="0.25">
      <c r="A776" t="s">
        <v>1571</v>
      </c>
      <c r="B776" s="1">
        <v>46108</v>
      </c>
      <c r="C776" s="4">
        <v>0.6</v>
      </c>
      <c r="D776" t="s">
        <v>126</v>
      </c>
      <c r="E776" t="s">
        <v>46</v>
      </c>
      <c r="F776" t="s">
        <v>750</v>
      </c>
      <c r="G776">
        <v>45</v>
      </c>
      <c r="H776" t="s">
        <v>849</v>
      </c>
      <c r="I776" t="s">
        <v>25</v>
      </c>
      <c r="J776">
        <v>39</v>
      </c>
      <c r="K776">
        <v>63</v>
      </c>
      <c r="L776">
        <v>3.5</v>
      </c>
      <c r="M776" t="s">
        <v>14</v>
      </c>
      <c r="N776" s="2">
        <v>1439.11</v>
      </c>
      <c r="O776" s="2" t="str">
        <f>IF(EHR_Export[[#This Row],[Arrival Time]]&lt;=TIME(7,0,0), "Night", IF(EHR_Export[[#This Row],[Arrival Time]]&lt;TIME(15,0,0), "Day", "Evening"))</f>
        <v>Day</v>
      </c>
      <c r="P776" cm="1">
        <f t="array" ref="P77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77" spans="1:16" x14ac:dyDescent="0.25">
      <c r="A777" t="s">
        <v>1590</v>
      </c>
      <c r="B777" s="1">
        <v>46108</v>
      </c>
      <c r="C777" s="4">
        <v>0.59305555555555556</v>
      </c>
      <c r="D777" t="s">
        <v>28</v>
      </c>
      <c r="E777" t="s">
        <v>23</v>
      </c>
      <c r="F777" t="s">
        <v>769</v>
      </c>
      <c r="G777">
        <v>47</v>
      </c>
      <c r="H777" t="s">
        <v>849</v>
      </c>
      <c r="I777" t="s">
        <v>13</v>
      </c>
      <c r="J777">
        <v>58</v>
      </c>
      <c r="K777">
        <v>73</v>
      </c>
      <c r="L777">
        <v>3.4</v>
      </c>
      <c r="N777" s="2">
        <v>1159.29</v>
      </c>
      <c r="O777" s="2" t="str">
        <f>IF(EHR_Export[[#This Row],[Arrival Time]]&lt;=TIME(7,0,0), "Night", IF(EHR_Export[[#This Row],[Arrival Time]]&lt;TIME(15,0,0), "Day", "Evening"))</f>
        <v>Day</v>
      </c>
      <c r="P777" cm="1">
        <f t="array" ref="P77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778" spans="1:16" x14ac:dyDescent="0.25">
      <c r="A778" t="s">
        <v>880</v>
      </c>
      <c r="B778" s="1">
        <v>46109</v>
      </c>
      <c r="C778" s="4">
        <v>0.33611111111111114</v>
      </c>
      <c r="D778" t="s">
        <v>58</v>
      </c>
      <c r="E778" t="s">
        <v>842</v>
      </c>
      <c r="F778" t="s">
        <v>57</v>
      </c>
      <c r="G778">
        <v>7</v>
      </c>
      <c r="H778" t="s">
        <v>847</v>
      </c>
      <c r="I778" t="s">
        <v>13</v>
      </c>
      <c r="J778">
        <v>59</v>
      </c>
      <c r="K778">
        <v>87</v>
      </c>
      <c r="L778">
        <v>3.2</v>
      </c>
      <c r="M778" t="s">
        <v>14</v>
      </c>
      <c r="N778" s="2">
        <v>3138.13</v>
      </c>
      <c r="O778" s="2" t="str">
        <f>IF(EHR_Export[[#This Row],[Arrival Time]]&lt;=TIME(7,0,0), "Night", IF(EHR_Export[[#This Row],[Arrival Time]]&lt;TIME(15,0,0), "Day", "Evening"))</f>
        <v>Day</v>
      </c>
      <c r="P778" cm="1">
        <f t="array" ref="P77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79" spans="1:16" x14ac:dyDescent="0.25">
      <c r="A779" t="s">
        <v>957</v>
      </c>
      <c r="B779" s="1">
        <v>46109</v>
      </c>
      <c r="C779" s="4">
        <v>0.27708333333333335</v>
      </c>
      <c r="D779" t="s">
        <v>21</v>
      </c>
      <c r="E779" t="s">
        <v>53</v>
      </c>
      <c r="F779" t="s">
        <v>136</v>
      </c>
      <c r="G779">
        <v>21</v>
      </c>
      <c r="H779" t="s">
        <v>847</v>
      </c>
      <c r="I779" t="s">
        <v>34</v>
      </c>
      <c r="J779">
        <v>44</v>
      </c>
      <c r="K779">
        <v>64</v>
      </c>
      <c r="L779">
        <v>4.8</v>
      </c>
      <c r="M779" t="s">
        <v>14</v>
      </c>
      <c r="N779" s="2">
        <v>551.70000000000005</v>
      </c>
      <c r="O779" s="2" t="str">
        <f>IF(EHR_Export[[#This Row],[Arrival Time]]&lt;=TIME(7,0,0), "Night", IF(EHR_Export[[#This Row],[Arrival Time]]&lt;TIME(15,0,0), "Day", "Evening"))</f>
        <v>Night</v>
      </c>
      <c r="P779" cm="1">
        <f t="array" ref="P77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780" spans="1:16" x14ac:dyDescent="0.25">
      <c r="A780" t="s">
        <v>963</v>
      </c>
      <c r="B780" s="1">
        <v>46109</v>
      </c>
      <c r="C780" s="4">
        <v>0.58819444444444446</v>
      </c>
      <c r="D780" t="s">
        <v>58</v>
      </c>
      <c r="E780" t="s">
        <v>842</v>
      </c>
      <c r="F780" t="s">
        <v>142</v>
      </c>
      <c r="G780">
        <v>41</v>
      </c>
      <c r="H780" t="s">
        <v>847</v>
      </c>
      <c r="I780" t="s">
        <v>38</v>
      </c>
      <c r="J780">
        <v>104</v>
      </c>
      <c r="K780">
        <v>98</v>
      </c>
      <c r="L780">
        <v>2.7</v>
      </c>
      <c r="M780" t="s">
        <v>18</v>
      </c>
      <c r="N780" s="2">
        <v>2769.43</v>
      </c>
      <c r="O780" s="2" t="str">
        <f>IF(EHR_Export[[#This Row],[Arrival Time]]&lt;=TIME(7,0,0), "Night", IF(EHR_Export[[#This Row],[Arrival Time]]&lt;TIME(15,0,0), "Day", "Evening"))</f>
        <v>Day</v>
      </c>
      <c r="P780" cm="1">
        <f t="array" ref="P78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81" spans="1:16" x14ac:dyDescent="0.25">
      <c r="A781" t="s">
        <v>970</v>
      </c>
      <c r="B781" s="1">
        <v>46109</v>
      </c>
      <c r="C781" s="4">
        <v>0.64166666666666672</v>
      </c>
      <c r="D781" t="s">
        <v>126</v>
      </c>
      <c r="E781" t="s">
        <v>46</v>
      </c>
      <c r="F781" t="s">
        <v>149</v>
      </c>
      <c r="G781">
        <v>1</v>
      </c>
      <c r="H781" t="s">
        <v>847</v>
      </c>
      <c r="I781" t="s">
        <v>25</v>
      </c>
      <c r="J781">
        <v>54</v>
      </c>
      <c r="K781">
        <v>10</v>
      </c>
      <c r="L781">
        <v>2.4</v>
      </c>
      <c r="M781" t="s">
        <v>14</v>
      </c>
      <c r="N781" s="2">
        <v>744.66</v>
      </c>
      <c r="O781" s="2" t="str">
        <f>IF(EHR_Export[[#This Row],[Arrival Time]]&lt;=TIME(7,0,0), "Night", IF(EHR_Export[[#This Row],[Arrival Time]]&lt;TIME(15,0,0), "Day", "Evening"))</f>
        <v>Evening</v>
      </c>
      <c r="P781" cm="1">
        <f t="array" ref="P78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82" spans="1:16" x14ac:dyDescent="0.25">
      <c r="A782" t="s">
        <v>1116</v>
      </c>
      <c r="B782" s="1">
        <v>46109</v>
      </c>
      <c r="C782" s="4">
        <v>0.63472222222222219</v>
      </c>
      <c r="D782" t="s">
        <v>126</v>
      </c>
      <c r="E782" t="s">
        <v>46</v>
      </c>
      <c r="F782" t="s">
        <v>295</v>
      </c>
      <c r="G782">
        <v>1</v>
      </c>
      <c r="H782" t="s">
        <v>847</v>
      </c>
      <c r="I782" t="s">
        <v>13</v>
      </c>
      <c r="J782">
        <v>30</v>
      </c>
      <c r="K782">
        <v>64</v>
      </c>
      <c r="L782">
        <v>3.8</v>
      </c>
      <c r="M782" t="s">
        <v>14</v>
      </c>
      <c r="N782" s="2">
        <v>1852.56</v>
      </c>
      <c r="O782" s="2" t="str">
        <f>IF(EHR_Export[[#This Row],[Arrival Time]]&lt;=TIME(7,0,0), "Night", IF(EHR_Export[[#This Row],[Arrival Time]]&lt;TIME(15,0,0), "Day", "Evening"))</f>
        <v>Evening</v>
      </c>
      <c r="P782" cm="1">
        <f t="array" ref="P78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83" spans="1:16" x14ac:dyDescent="0.25">
      <c r="A783" t="s">
        <v>1159</v>
      </c>
      <c r="B783" s="1">
        <v>46109</v>
      </c>
      <c r="C783" s="4">
        <v>0.83888888888888891</v>
      </c>
      <c r="D783" t="s">
        <v>126</v>
      </c>
      <c r="E783" t="s">
        <v>46</v>
      </c>
      <c r="F783" t="s">
        <v>338</v>
      </c>
      <c r="G783">
        <v>60</v>
      </c>
      <c r="H783" t="s">
        <v>847</v>
      </c>
      <c r="I783" t="s">
        <v>13</v>
      </c>
      <c r="J783">
        <v>83</v>
      </c>
      <c r="K783">
        <v>21</v>
      </c>
      <c r="L783">
        <v>3.3</v>
      </c>
      <c r="M783" t="s">
        <v>14</v>
      </c>
      <c r="N783" s="2">
        <v>2013.45</v>
      </c>
      <c r="O783" s="2" t="str">
        <f>IF(EHR_Export[[#This Row],[Arrival Time]]&lt;=TIME(7,0,0), "Night", IF(EHR_Export[[#This Row],[Arrival Time]]&lt;TIME(15,0,0), "Day", "Evening"))</f>
        <v>Evening</v>
      </c>
      <c r="P783" cm="1">
        <f t="array" ref="P78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84" spans="1:16" x14ac:dyDescent="0.25">
      <c r="A784" t="s">
        <v>1196</v>
      </c>
      <c r="B784" s="1">
        <v>46109</v>
      </c>
      <c r="C784" s="4">
        <v>0.80694444444444446</v>
      </c>
      <c r="D784" t="s">
        <v>126</v>
      </c>
      <c r="E784" t="s">
        <v>46</v>
      </c>
      <c r="F784" t="s">
        <v>375</v>
      </c>
      <c r="G784">
        <v>49</v>
      </c>
      <c r="H784" t="s">
        <v>849</v>
      </c>
      <c r="I784" t="s">
        <v>34</v>
      </c>
      <c r="J784">
        <v>63</v>
      </c>
      <c r="K784">
        <v>37</v>
      </c>
      <c r="M784" t="s">
        <v>14</v>
      </c>
      <c r="N784" s="2">
        <v>959.37</v>
      </c>
      <c r="O784" s="2" t="str">
        <f>IF(EHR_Export[[#This Row],[Arrival Time]]&lt;=TIME(7,0,0), "Night", IF(EHR_Export[[#This Row],[Arrival Time]]&lt;TIME(15,0,0), "Day", "Evening"))</f>
        <v>Evening</v>
      </c>
      <c r="P784" cm="1">
        <f t="array" ref="P78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85" spans="1:16" x14ac:dyDescent="0.25">
      <c r="A785" t="s">
        <v>1209</v>
      </c>
      <c r="B785" s="1">
        <v>46109</v>
      </c>
      <c r="C785" s="4">
        <v>0.51249999999999996</v>
      </c>
      <c r="D785" t="s">
        <v>58</v>
      </c>
      <c r="E785" t="s">
        <v>842</v>
      </c>
      <c r="F785" t="s">
        <v>388</v>
      </c>
      <c r="G785">
        <v>102</v>
      </c>
      <c r="H785" t="s">
        <v>849</v>
      </c>
      <c r="I785" t="s">
        <v>38</v>
      </c>
      <c r="J785">
        <v>83</v>
      </c>
      <c r="K785">
        <v>105</v>
      </c>
      <c r="L785">
        <v>3.4</v>
      </c>
      <c r="M785" t="s">
        <v>18</v>
      </c>
      <c r="N785" s="2">
        <v>3678.2</v>
      </c>
      <c r="O785" s="2" t="str">
        <f>IF(EHR_Export[[#This Row],[Arrival Time]]&lt;=TIME(7,0,0), "Night", IF(EHR_Export[[#This Row],[Arrival Time]]&lt;TIME(15,0,0), "Day", "Evening"))</f>
        <v>Day</v>
      </c>
      <c r="P785" cm="1">
        <f t="array" ref="P78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86" spans="1:16" x14ac:dyDescent="0.25">
      <c r="A786" t="s">
        <v>1224</v>
      </c>
      <c r="B786" s="1">
        <v>46109</v>
      </c>
      <c r="C786" s="4">
        <v>0.66527777777777775</v>
      </c>
      <c r="D786" t="s">
        <v>58</v>
      </c>
      <c r="E786" t="s">
        <v>842</v>
      </c>
      <c r="F786" t="s">
        <v>403</v>
      </c>
      <c r="G786">
        <v>10</v>
      </c>
      <c r="H786" t="s">
        <v>849</v>
      </c>
      <c r="I786" t="s">
        <v>25</v>
      </c>
      <c r="J786">
        <v>58</v>
      </c>
      <c r="K786">
        <v>83</v>
      </c>
      <c r="L786">
        <v>2.9</v>
      </c>
      <c r="M786" t="s">
        <v>14</v>
      </c>
      <c r="N786" s="2">
        <v>3564.52</v>
      </c>
      <c r="O786" s="2" t="str">
        <f>IF(EHR_Export[[#This Row],[Arrival Time]]&lt;=TIME(7,0,0), "Night", IF(EHR_Export[[#This Row],[Arrival Time]]&lt;TIME(15,0,0), "Day", "Evening"))</f>
        <v>Evening</v>
      </c>
      <c r="P786" cm="1">
        <f t="array" ref="P78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787" spans="1:16" x14ac:dyDescent="0.25">
      <c r="A787" t="s">
        <v>1249</v>
      </c>
      <c r="B787" s="1">
        <v>46109</v>
      </c>
      <c r="C787" s="4">
        <v>0.61458333333333337</v>
      </c>
      <c r="D787" t="s">
        <v>28</v>
      </c>
      <c r="E787" t="s">
        <v>23</v>
      </c>
      <c r="F787" t="s">
        <v>428</v>
      </c>
      <c r="G787">
        <v>999</v>
      </c>
      <c r="H787" t="s">
        <v>847</v>
      </c>
      <c r="I787" t="s">
        <v>25</v>
      </c>
      <c r="J787">
        <v>59</v>
      </c>
      <c r="K787">
        <v>44</v>
      </c>
      <c r="L787">
        <v>3.2</v>
      </c>
      <c r="M787" t="s">
        <v>14</v>
      </c>
      <c r="N787" s="2">
        <v>1066.19</v>
      </c>
      <c r="O787" s="2" t="str">
        <f>IF(EHR_Export[[#This Row],[Arrival Time]]&lt;=TIME(7,0,0), "Night", IF(EHR_Export[[#This Row],[Arrival Time]]&lt;TIME(15,0,0), "Day", "Evening"))</f>
        <v>Day</v>
      </c>
      <c r="P787" cm="1">
        <f t="array" ref="P78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788" spans="1:16" x14ac:dyDescent="0.25">
      <c r="A788" t="s">
        <v>1422</v>
      </c>
      <c r="B788" s="1">
        <v>46109</v>
      </c>
      <c r="C788" s="4">
        <v>0.67847222222222225</v>
      </c>
      <c r="D788" t="s">
        <v>126</v>
      </c>
      <c r="E788" t="s">
        <v>46</v>
      </c>
      <c r="F788" t="s">
        <v>601</v>
      </c>
      <c r="G788">
        <v>47</v>
      </c>
      <c r="H788" t="s">
        <v>847</v>
      </c>
      <c r="I788" t="s">
        <v>38</v>
      </c>
      <c r="J788">
        <v>51</v>
      </c>
      <c r="K788">
        <v>27</v>
      </c>
      <c r="L788">
        <v>3.3</v>
      </c>
      <c r="M788" t="s">
        <v>14</v>
      </c>
      <c r="N788" s="2">
        <v>2361.5300000000002</v>
      </c>
      <c r="O788" s="2" t="str">
        <f>IF(EHR_Export[[#This Row],[Arrival Time]]&lt;=TIME(7,0,0), "Night", IF(EHR_Export[[#This Row],[Arrival Time]]&lt;TIME(15,0,0), "Day", "Evening"))</f>
        <v>Evening</v>
      </c>
      <c r="P788" cm="1">
        <f t="array" ref="P78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89" spans="1:16" x14ac:dyDescent="0.25">
      <c r="A789" t="s">
        <v>1116</v>
      </c>
      <c r="B789" s="1">
        <v>46109</v>
      </c>
      <c r="C789" s="4">
        <v>0.63472222222222219</v>
      </c>
      <c r="D789" t="s">
        <v>126</v>
      </c>
      <c r="E789" t="s">
        <v>46</v>
      </c>
      <c r="F789" t="s">
        <v>295</v>
      </c>
      <c r="G789">
        <v>1</v>
      </c>
      <c r="H789" t="s">
        <v>847</v>
      </c>
      <c r="I789" t="s">
        <v>13</v>
      </c>
      <c r="J789">
        <v>30</v>
      </c>
      <c r="K789">
        <v>64</v>
      </c>
      <c r="L789">
        <v>3.8</v>
      </c>
      <c r="M789" t="s">
        <v>14</v>
      </c>
      <c r="N789" s="2">
        <v>1852.56</v>
      </c>
      <c r="O789" s="2" t="str">
        <f>IF(EHR_Export[[#This Row],[Arrival Time]]&lt;=TIME(7,0,0), "Night", IF(EHR_Export[[#This Row],[Arrival Time]]&lt;TIME(15,0,0), "Day", "Evening"))</f>
        <v>Evening</v>
      </c>
      <c r="P789" cm="1">
        <f t="array" ref="P78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90" spans="1:16" x14ac:dyDescent="0.25">
      <c r="A790" t="s">
        <v>1545</v>
      </c>
      <c r="B790" s="1">
        <v>46109</v>
      </c>
      <c r="C790" s="4">
        <v>0.67152777777777772</v>
      </c>
      <c r="D790" t="s">
        <v>126</v>
      </c>
      <c r="E790" t="s">
        <v>46</v>
      </c>
      <c r="F790" t="s">
        <v>724</v>
      </c>
      <c r="G790">
        <v>34</v>
      </c>
      <c r="H790" t="s">
        <v>849</v>
      </c>
      <c r="I790" t="s">
        <v>34</v>
      </c>
      <c r="J790">
        <v>49</v>
      </c>
      <c r="K790">
        <v>15</v>
      </c>
      <c r="L790">
        <v>2.9</v>
      </c>
      <c r="M790" t="s">
        <v>14</v>
      </c>
      <c r="N790" s="2">
        <v>2446.0500000000002</v>
      </c>
      <c r="O790" s="2" t="str">
        <f>IF(EHR_Export[[#This Row],[Arrival Time]]&lt;=TIME(7,0,0), "Night", IF(EHR_Export[[#This Row],[Arrival Time]]&lt;TIME(15,0,0), "Day", "Evening"))</f>
        <v>Evening</v>
      </c>
      <c r="P790" cm="1">
        <f t="array" ref="P79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91" spans="1:16" x14ac:dyDescent="0.25">
      <c r="A791" t="s">
        <v>1545</v>
      </c>
      <c r="B791" s="1">
        <v>46109</v>
      </c>
      <c r="C791" s="4">
        <v>0.67152777777777772</v>
      </c>
      <c r="D791" t="s">
        <v>126</v>
      </c>
      <c r="E791" t="s">
        <v>46</v>
      </c>
      <c r="F791" t="s">
        <v>724</v>
      </c>
      <c r="G791">
        <v>34</v>
      </c>
      <c r="H791" t="s">
        <v>849</v>
      </c>
      <c r="I791" t="s">
        <v>34</v>
      </c>
      <c r="J791">
        <v>49</v>
      </c>
      <c r="K791">
        <v>15</v>
      </c>
      <c r="L791">
        <v>2.9</v>
      </c>
      <c r="M791" t="s">
        <v>14</v>
      </c>
      <c r="N791" s="2">
        <v>2446.0500000000002</v>
      </c>
      <c r="O791" s="2" t="str">
        <f>IF(EHR_Export[[#This Row],[Arrival Time]]&lt;=TIME(7,0,0), "Night", IF(EHR_Export[[#This Row],[Arrival Time]]&lt;TIME(15,0,0), "Day", "Evening"))</f>
        <v>Evening</v>
      </c>
      <c r="P791" cm="1">
        <f t="array" ref="P79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92" spans="1:16" x14ac:dyDescent="0.25">
      <c r="A792" t="s">
        <v>1634</v>
      </c>
      <c r="B792" s="1">
        <v>46109</v>
      </c>
      <c r="C792" s="4">
        <v>0.44861111111111113</v>
      </c>
      <c r="D792" t="s">
        <v>126</v>
      </c>
      <c r="E792" t="s">
        <v>46</v>
      </c>
      <c r="F792" t="s">
        <v>813</v>
      </c>
      <c r="G792">
        <v>71</v>
      </c>
      <c r="H792" t="s">
        <v>849</v>
      </c>
      <c r="I792" t="s">
        <v>38</v>
      </c>
      <c r="J792">
        <v>33</v>
      </c>
      <c r="K792">
        <v>58</v>
      </c>
      <c r="L792">
        <v>3.1</v>
      </c>
      <c r="M792" t="s">
        <v>14</v>
      </c>
      <c r="N792" s="2">
        <v>1490.56</v>
      </c>
      <c r="O792" s="2" t="str">
        <f>IF(EHR_Export[[#This Row],[Arrival Time]]&lt;=TIME(7,0,0), "Night", IF(EHR_Export[[#This Row],[Arrival Time]]&lt;TIME(15,0,0), "Day", "Evening"))</f>
        <v>Day</v>
      </c>
      <c r="P792" cm="1">
        <f t="array" ref="P79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793" spans="1:16" x14ac:dyDescent="0.25">
      <c r="A793" t="s">
        <v>853</v>
      </c>
      <c r="B793" s="1">
        <v>46110</v>
      </c>
      <c r="C793" s="4">
        <v>0.31597222222222221</v>
      </c>
      <c r="D793" t="s">
        <v>58</v>
      </c>
      <c r="E793" t="s">
        <v>842</v>
      </c>
      <c r="F793" t="s">
        <v>20</v>
      </c>
      <c r="G793">
        <v>26</v>
      </c>
      <c r="H793" t="s">
        <v>849</v>
      </c>
      <c r="I793" t="s">
        <v>34</v>
      </c>
      <c r="J793">
        <v>76</v>
      </c>
      <c r="K793">
        <v>111</v>
      </c>
      <c r="L793">
        <v>3.4</v>
      </c>
      <c r="M793" t="s">
        <v>18</v>
      </c>
      <c r="N793" s="2">
        <v>4024.72</v>
      </c>
      <c r="O793" s="2" t="str">
        <f>IF(EHR_Export[[#This Row],[Arrival Time]]&lt;=TIME(7,0,0), "Night", IF(EHR_Export[[#This Row],[Arrival Time]]&lt;TIME(15,0,0), "Day", "Evening"))</f>
        <v>Day</v>
      </c>
      <c r="P793" cm="1">
        <f t="array" ref="P79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794" spans="1:16" x14ac:dyDescent="0.25">
      <c r="A794" t="s">
        <v>875</v>
      </c>
      <c r="B794" s="1">
        <v>46110</v>
      </c>
      <c r="C794" s="4">
        <v>0.77013888888888893</v>
      </c>
      <c r="D794" t="s">
        <v>58</v>
      </c>
      <c r="E794" t="s">
        <v>842</v>
      </c>
      <c r="F794" t="s">
        <v>51</v>
      </c>
      <c r="G794">
        <v>34</v>
      </c>
      <c r="H794" t="s">
        <v>847</v>
      </c>
      <c r="I794" t="s">
        <v>34</v>
      </c>
      <c r="J794">
        <v>94</v>
      </c>
      <c r="K794">
        <v>105</v>
      </c>
      <c r="L794">
        <v>2.4</v>
      </c>
      <c r="M794" t="s">
        <v>14</v>
      </c>
      <c r="N794" s="2">
        <v>2198.7399999999998</v>
      </c>
      <c r="O794" s="2" t="str">
        <f>IF(EHR_Export[[#This Row],[Arrival Time]]&lt;=TIME(7,0,0), "Night", IF(EHR_Export[[#This Row],[Arrival Time]]&lt;TIME(15,0,0), "Day", "Evening"))</f>
        <v>Evening</v>
      </c>
      <c r="P794" cm="1">
        <f t="array" ref="P79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95" spans="1:16" x14ac:dyDescent="0.25">
      <c r="A795" t="s">
        <v>1141</v>
      </c>
      <c r="B795" s="1">
        <v>46110</v>
      </c>
      <c r="C795" s="4">
        <v>0.54374999999999996</v>
      </c>
      <c r="D795" t="s">
        <v>126</v>
      </c>
      <c r="E795" t="s">
        <v>46</v>
      </c>
      <c r="F795" t="s">
        <v>320</v>
      </c>
      <c r="G795">
        <v>82</v>
      </c>
      <c r="H795" t="s">
        <v>849</v>
      </c>
      <c r="I795" t="s">
        <v>25</v>
      </c>
      <c r="J795">
        <v>50</v>
      </c>
      <c r="K795">
        <v>66</v>
      </c>
      <c r="L795">
        <v>4.3</v>
      </c>
      <c r="M795" t="s">
        <v>14</v>
      </c>
      <c r="N795" s="2">
        <v>2716.47</v>
      </c>
      <c r="O795" s="2" t="str">
        <f>IF(EHR_Export[[#This Row],[Arrival Time]]&lt;=TIME(7,0,0), "Night", IF(EHR_Export[[#This Row],[Arrival Time]]&lt;TIME(15,0,0), "Day", "Evening"))</f>
        <v>Day</v>
      </c>
      <c r="P795" cm="1">
        <f t="array" ref="P79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796" spans="1:16" x14ac:dyDescent="0.25">
      <c r="A796" t="s">
        <v>1157</v>
      </c>
      <c r="B796" s="1">
        <v>46110</v>
      </c>
      <c r="C796" s="4">
        <v>0.78125</v>
      </c>
      <c r="D796" t="s">
        <v>58</v>
      </c>
      <c r="E796" t="s">
        <v>842</v>
      </c>
      <c r="F796" t="s">
        <v>336</v>
      </c>
      <c r="G796">
        <v>49</v>
      </c>
      <c r="H796" t="s">
        <v>847</v>
      </c>
      <c r="I796" t="s">
        <v>25</v>
      </c>
      <c r="J796">
        <v>139</v>
      </c>
      <c r="K796">
        <v>88</v>
      </c>
      <c r="L796">
        <v>2.7</v>
      </c>
      <c r="M796" t="s">
        <v>14</v>
      </c>
      <c r="O796" s="2" t="str">
        <f>IF(EHR_Export[[#This Row],[Arrival Time]]&lt;=TIME(7,0,0), "Night", IF(EHR_Export[[#This Row],[Arrival Time]]&lt;TIME(15,0,0), "Day", "Evening"))</f>
        <v>Evening</v>
      </c>
      <c r="P796" cm="1">
        <f t="array" ref="P79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  <row r="797" spans="1:16" x14ac:dyDescent="0.25">
      <c r="A797" t="s">
        <v>1168</v>
      </c>
      <c r="B797" s="1">
        <v>46110</v>
      </c>
      <c r="C797" s="4">
        <v>0.87638888888888888</v>
      </c>
      <c r="D797" t="s">
        <v>21</v>
      </c>
      <c r="E797" t="s">
        <v>53</v>
      </c>
      <c r="F797" t="s">
        <v>347</v>
      </c>
      <c r="G797">
        <v>29</v>
      </c>
      <c r="H797" t="s">
        <v>847</v>
      </c>
      <c r="I797" t="s">
        <v>34</v>
      </c>
      <c r="J797">
        <v>54</v>
      </c>
      <c r="K797">
        <v>14</v>
      </c>
      <c r="L797">
        <v>3.4</v>
      </c>
      <c r="M797" t="s">
        <v>18</v>
      </c>
      <c r="N797" s="2">
        <v>782.12</v>
      </c>
      <c r="O797" s="2" t="str">
        <f>IF(EHR_Export[[#This Row],[Arrival Time]]&lt;=TIME(7,0,0), "Night", IF(EHR_Export[[#This Row],[Arrival Time]]&lt;TIME(15,0,0), "Day", "Evening"))</f>
        <v>Evening</v>
      </c>
      <c r="P797" cm="1">
        <f t="array" ref="P79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798" spans="1:16" x14ac:dyDescent="0.25">
      <c r="A798" t="s">
        <v>1236</v>
      </c>
      <c r="B798" s="1">
        <v>46110</v>
      </c>
      <c r="C798" s="4">
        <v>0.82916666666666672</v>
      </c>
      <c r="D798" t="s">
        <v>28</v>
      </c>
      <c r="E798" t="s">
        <v>23</v>
      </c>
      <c r="F798" t="s">
        <v>415</v>
      </c>
      <c r="G798">
        <v>47</v>
      </c>
      <c r="H798" t="s">
        <v>847</v>
      </c>
      <c r="I798" t="s">
        <v>25</v>
      </c>
      <c r="J798">
        <v>84</v>
      </c>
      <c r="K798">
        <v>22</v>
      </c>
      <c r="L798">
        <v>4</v>
      </c>
      <c r="M798" t="s">
        <v>14</v>
      </c>
      <c r="N798" s="2">
        <v>612.52</v>
      </c>
      <c r="O798" s="2" t="str">
        <f>IF(EHR_Export[[#This Row],[Arrival Time]]&lt;=TIME(7,0,0), "Night", IF(EHR_Export[[#This Row],[Arrival Time]]&lt;TIME(15,0,0), "Day", "Evening"))</f>
        <v>Evening</v>
      </c>
      <c r="P798" cm="1">
        <f t="array" ref="P79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799" spans="1:16" x14ac:dyDescent="0.25">
      <c r="A799" t="s">
        <v>1258</v>
      </c>
      <c r="B799" s="1">
        <v>46110</v>
      </c>
      <c r="C799" s="4">
        <v>0.83750000000000002</v>
      </c>
      <c r="D799" t="s">
        <v>21</v>
      </c>
      <c r="E799" t="s">
        <v>53</v>
      </c>
      <c r="F799" t="s">
        <v>437</v>
      </c>
      <c r="G799">
        <v>61</v>
      </c>
      <c r="H799" t="s">
        <v>847</v>
      </c>
      <c r="I799" t="s">
        <v>38</v>
      </c>
      <c r="J799">
        <v>11</v>
      </c>
      <c r="K799">
        <v>21</v>
      </c>
      <c r="M799" t="s">
        <v>14</v>
      </c>
      <c r="N799" s="2">
        <v>768.42</v>
      </c>
      <c r="O799" s="2" t="str">
        <f>IF(EHR_Export[[#This Row],[Arrival Time]]&lt;=TIME(7,0,0), "Night", IF(EHR_Export[[#This Row],[Arrival Time]]&lt;TIME(15,0,0), "Day", "Evening"))</f>
        <v>Evening</v>
      </c>
      <c r="P799" cm="1">
        <f t="array" ref="P79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800" spans="1:16" x14ac:dyDescent="0.25">
      <c r="A800" t="s">
        <v>1403</v>
      </c>
      <c r="B800" s="1">
        <v>46110</v>
      </c>
      <c r="C800" s="4">
        <v>0.87291666666666667</v>
      </c>
      <c r="D800" t="s">
        <v>48</v>
      </c>
      <c r="E800" t="s">
        <v>42</v>
      </c>
      <c r="F800" t="s">
        <v>582</v>
      </c>
      <c r="G800">
        <v>92</v>
      </c>
      <c r="H800" t="s">
        <v>847</v>
      </c>
      <c r="I800" t="s">
        <v>25</v>
      </c>
      <c r="J800">
        <v>79</v>
      </c>
      <c r="K800">
        <v>25</v>
      </c>
      <c r="L800">
        <v>2.4</v>
      </c>
      <c r="M800" t="s">
        <v>14</v>
      </c>
      <c r="N800" s="2">
        <v>1591.45</v>
      </c>
      <c r="O800" s="2" t="str">
        <f>IF(EHR_Export[[#This Row],[Arrival Time]]&lt;=TIME(7,0,0), "Night", IF(EHR_Export[[#This Row],[Arrival Time]]&lt;TIME(15,0,0), "Day", "Evening"))</f>
        <v>Evening</v>
      </c>
      <c r="P800" cm="1">
        <f t="array" ref="P80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801" spans="1:16" x14ac:dyDescent="0.25">
      <c r="A801" t="s">
        <v>1457</v>
      </c>
      <c r="B801" s="1">
        <v>46110</v>
      </c>
      <c r="C801" s="4">
        <v>0.38680555555555557</v>
      </c>
      <c r="D801" t="s">
        <v>28</v>
      </c>
      <c r="E801" t="s">
        <v>23</v>
      </c>
      <c r="F801" t="s">
        <v>636</v>
      </c>
      <c r="G801">
        <v>59</v>
      </c>
      <c r="H801" t="s">
        <v>847</v>
      </c>
      <c r="I801" t="s">
        <v>38</v>
      </c>
      <c r="J801">
        <v>76</v>
      </c>
      <c r="K801">
        <v>33</v>
      </c>
      <c r="L801">
        <v>2.9</v>
      </c>
      <c r="M801" t="s">
        <v>14</v>
      </c>
      <c r="N801" s="2">
        <v>736.51</v>
      </c>
      <c r="O801" s="2" t="str">
        <f>IF(EHR_Export[[#This Row],[Arrival Time]]&lt;=TIME(7,0,0), "Night", IF(EHR_Export[[#This Row],[Arrival Time]]&lt;TIME(15,0,0), "Day", "Evening"))</f>
        <v>Day</v>
      </c>
      <c r="P801" cm="1">
        <f t="array" ref="P80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7</v>
      </c>
    </row>
    <row r="802" spans="1:16" x14ac:dyDescent="0.25">
      <c r="A802" t="s">
        <v>899</v>
      </c>
      <c r="B802" s="1">
        <v>46111</v>
      </c>
      <c r="C802" s="4">
        <v>0.67569444444444449</v>
      </c>
      <c r="D802" t="s">
        <v>28</v>
      </c>
      <c r="E802" t="s">
        <v>23</v>
      </c>
      <c r="F802" t="s">
        <v>77</v>
      </c>
      <c r="G802">
        <v>44</v>
      </c>
      <c r="H802" t="s">
        <v>849</v>
      </c>
      <c r="I802" t="s">
        <v>25</v>
      </c>
      <c r="J802">
        <v>54</v>
      </c>
      <c r="K802">
        <v>45</v>
      </c>
      <c r="L802">
        <v>3.3</v>
      </c>
      <c r="M802" t="s">
        <v>14</v>
      </c>
      <c r="N802" s="2">
        <v>896.65</v>
      </c>
      <c r="O802" s="2" t="str">
        <f>IF(EHR_Export[[#This Row],[Arrival Time]]&lt;=TIME(7,0,0), "Night", IF(EHR_Export[[#This Row],[Arrival Time]]&lt;TIME(15,0,0), "Day", "Evening"))</f>
        <v>Evening</v>
      </c>
      <c r="P802" cm="1">
        <f t="array" ref="P80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803" spans="1:16" x14ac:dyDescent="0.25">
      <c r="A803" t="s">
        <v>1026</v>
      </c>
      <c r="B803" s="1">
        <v>46111</v>
      </c>
      <c r="C803" s="4">
        <v>0.84166666666666667</v>
      </c>
      <c r="D803" t="s">
        <v>28</v>
      </c>
      <c r="E803" t="s">
        <v>23</v>
      </c>
      <c r="F803" t="s">
        <v>205</v>
      </c>
      <c r="G803">
        <v>62</v>
      </c>
      <c r="H803" t="s">
        <v>849</v>
      </c>
      <c r="I803" t="s">
        <v>38</v>
      </c>
      <c r="J803">
        <v>87</v>
      </c>
      <c r="K803">
        <v>30</v>
      </c>
      <c r="L803">
        <v>3.4</v>
      </c>
      <c r="M803" t="s">
        <v>14</v>
      </c>
      <c r="N803" s="2">
        <v>559.88</v>
      </c>
      <c r="O803" s="2" t="str">
        <f>IF(EHR_Export[[#This Row],[Arrival Time]]&lt;=TIME(7,0,0), "Night", IF(EHR_Export[[#This Row],[Arrival Time]]&lt;TIME(15,0,0), "Day", "Evening"))</f>
        <v>Evening</v>
      </c>
      <c r="P803" cm="1">
        <f t="array" ref="P80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12</v>
      </c>
    </row>
    <row r="804" spans="1:16" x14ac:dyDescent="0.25">
      <c r="A804" t="s">
        <v>1075</v>
      </c>
      <c r="B804" s="1">
        <v>46111</v>
      </c>
      <c r="C804" s="4">
        <v>0.80277777777777781</v>
      </c>
      <c r="D804" t="s">
        <v>58</v>
      </c>
      <c r="E804" t="s">
        <v>842</v>
      </c>
      <c r="F804" t="s">
        <v>254</v>
      </c>
      <c r="G804">
        <v>8</v>
      </c>
      <c r="H804" t="s">
        <v>847</v>
      </c>
      <c r="I804" t="s">
        <v>34</v>
      </c>
      <c r="J804">
        <v>73</v>
      </c>
      <c r="K804">
        <v>67</v>
      </c>
      <c r="L804">
        <v>3.5</v>
      </c>
      <c r="N804" s="2">
        <v>4808.8599999999997</v>
      </c>
      <c r="O804" s="2" t="str">
        <f>IF(EHR_Export[[#This Row],[Arrival Time]]&lt;=TIME(7,0,0), "Night", IF(EHR_Export[[#This Row],[Arrival Time]]&lt;TIME(15,0,0), "Day", "Evening"))</f>
        <v>Evening</v>
      </c>
      <c r="P804" cm="1">
        <f t="array" ref="P80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805" spans="1:16" x14ac:dyDescent="0.25">
      <c r="A805" t="s">
        <v>1090</v>
      </c>
      <c r="B805" s="1">
        <v>46111</v>
      </c>
      <c r="C805" s="4">
        <v>0.36736111111111114</v>
      </c>
      <c r="D805" t="s">
        <v>58</v>
      </c>
      <c r="E805" t="s">
        <v>842</v>
      </c>
      <c r="F805" t="s">
        <v>269</v>
      </c>
      <c r="G805">
        <v>42</v>
      </c>
      <c r="H805" t="s">
        <v>849</v>
      </c>
      <c r="I805" t="s">
        <v>25</v>
      </c>
      <c r="J805">
        <v>36</v>
      </c>
      <c r="K805">
        <v>86</v>
      </c>
      <c r="L805">
        <v>3.8</v>
      </c>
      <c r="M805" t="s">
        <v>14</v>
      </c>
      <c r="N805" s="2">
        <v>3781.76</v>
      </c>
      <c r="O805" s="2" t="str">
        <f>IF(EHR_Export[[#This Row],[Arrival Time]]&lt;=TIME(7,0,0), "Night", IF(EHR_Export[[#This Row],[Arrival Time]]&lt;TIME(15,0,0), "Day", "Evening"))</f>
        <v>Day</v>
      </c>
      <c r="P805" cm="1">
        <f t="array" ref="P80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806" spans="1:16" x14ac:dyDescent="0.25">
      <c r="A806" t="s">
        <v>1384</v>
      </c>
      <c r="B806" s="1">
        <v>46111</v>
      </c>
      <c r="C806" s="4">
        <v>0.54861111111111116</v>
      </c>
      <c r="D806" t="s">
        <v>58</v>
      </c>
      <c r="E806" t="s">
        <v>842</v>
      </c>
      <c r="F806" t="s">
        <v>563</v>
      </c>
      <c r="G806">
        <v>58</v>
      </c>
      <c r="H806" t="s">
        <v>849</v>
      </c>
      <c r="I806" t="s">
        <v>38</v>
      </c>
      <c r="J806">
        <v>57</v>
      </c>
      <c r="K806">
        <v>88</v>
      </c>
      <c r="L806">
        <v>3.2</v>
      </c>
      <c r="M806" t="s">
        <v>14</v>
      </c>
      <c r="N806" s="2">
        <v>2250.83</v>
      </c>
      <c r="O806" s="2" t="str">
        <f>IF(EHR_Export[[#This Row],[Arrival Time]]&lt;=TIME(7,0,0), "Night", IF(EHR_Export[[#This Row],[Arrival Time]]&lt;TIME(15,0,0), "Day", "Evening"))</f>
        <v>Day</v>
      </c>
      <c r="P806" cm="1">
        <f t="array" ref="P80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8</v>
      </c>
    </row>
    <row r="807" spans="1:16" x14ac:dyDescent="0.25">
      <c r="A807" t="s">
        <v>1462</v>
      </c>
      <c r="B807" s="1">
        <v>46111</v>
      </c>
      <c r="C807" s="4">
        <v>0.9604166666666667</v>
      </c>
      <c r="D807" t="s">
        <v>58</v>
      </c>
      <c r="E807" t="s">
        <v>842</v>
      </c>
      <c r="F807" t="s">
        <v>641</v>
      </c>
      <c r="G807">
        <v>37</v>
      </c>
      <c r="H807" t="s">
        <v>849</v>
      </c>
      <c r="I807" t="s">
        <v>38</v>
      </c>
      <c r="J807">
        <v>42</v>
      </c>
      <c r="K807">
        <v>82</v>
      </c>
      <c r="L807">
        <v>3.7</v>
      </c>
      <c r="M807" t="s">
        <v>14</v>
      </c>
      <c r="N807" s="2">
        <v>3491.49</v>
      </c>
      <c r="O807" s="2" t="str">
        <f>IF(EHR_Export[[#This Row],[Arrival Time]]&lt;=TIME(7,0,0), "Night", IF(EHR_Export[[#This Row],[Arrival Time]]&lt;TIME(15,0,0), "Day", "Evening"))</f>
        <v>Evening</v>
      </c>
      <c r="P807" cm="1">
        <f t="array" ref="P80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808" spans="1:16" x14ac:dyDescent="0.25">
      <c r="A808" t="s">
        <v>884</v>
      </c>
      <c r="B808" s="1">
        <v>46112</v>
      </c>
      <c r="C808" s="4">
        <v>0.9916666666666667</v>
      </c>
      <c r="D808" t="s">
        <v>21</v>
      </c>
      <c r="E808" t="s">
        <v>53</v>
      </c>
      <c r="F808" t="s">
        <v>62</v>
      </c>
      <c r="G808">
        <v>45</v>
      </c>
      <c r="H808" t="s">
        <v>847</v>
      </c>
      <c r="I808" t="s">
        <v>34</v>
      </c>
      <c r="J808">
        <v>24</v>
      </c>
      <c r="K808">
        <v>36</v>
      </c>
      <c r="L808">
        <v>4.4000000000000004</v>
      </c>
      <c r="M808" t="s">
        <v>14</v>
      </c>
      <c r="N808" s="2">
        <v>530.46</v>
      </c>
      <c r="O808" s="2" t="str">
        <f>IF(EHR_Export[[#This Row],[Arrival Time]]&lt;=TIME(7,0,0), "Night", IF(EHR_Export[[#This Row],[Arrival Time]]&lt;TIME(15,0,0), "Day", "Evening"))</f>
        <v>Evening</v>
      </c>
      <c r="P808" cm="1">
        <f t="array" ref="P808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809" spans="1:16" x14ac:dyDescent="0.25">
      <c r="A809" t="s">
        <v>911</v>
      </c>
      <c r="B809" s="1">
        <v>46112</v>
      </c>
      <c r="C809" s="4">
        <v>0.30694444444444446</v>
      </c>
      <c r="D809" t="s">
        <v>28</v>
      </c>
      <c r="E809" t="s">
        <v>23</v>
      </c>
      <c r="F809" t="s">
        <v>89</v>
      </c>
      <c r="G809">
        <v>57</v>
      </c>
      <c r="H809" t="s">
        <v>847</v>
      </c>
      <c r="I809" t="s">
        <v>38</v>
      </c>
      <c r="J809">
        <v>51</v>
      </c>
      <c r="K809">
        <v>35</v>
      </c>
      <c r="L809">
        <v>3</v>
      </c>
      <c r="M809" t="s">
        <v>14</v>
      </c>
      <c r="N809" s="2">
        <v>1059.1099999999999</v>
      </c>
      <c r="O809" s="2" t="str">
        <f>IF(EHR_Export[[#This Row],[Arrival Time]]&lt;=TIME(7,0,0), "Night", IF(EHR_Export[[#This Row],[Arrival Time]]&lt;TIME(15,0,0), "Day", "Evening"))</f>
        <v>Day</v>
      </c>
      <c r="P809" cm="1">
        <f t="array" ref="P809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810" spans="1:16" x14ac:dyDescent="0.25">
      <c r="A810" t="s">
        <v>932</v>
      </c>
      <c r="B810" s="1">
        <v>46112</v>
      </c>
      <c r="C810" s="4">
        <v>0.90347222222222223</v>
      </c>
      <c r="D810" t="s">
        <v>48</v>
      </c>
      <c r="E810" t="s">
        <v>42</v>
      </c>
      <c r="F810" t="s">
        <v>110</v>
      </c>
      <c r="G810">
        <v>54</v>
      </c>
      <c r="H810" t="s">
        <v>849</v>
      </c>
      <c r="I810" t="s">
        <v>38</v>
      </c>
      <c r="J810">
        <v>67</v>
      </c>
      <c r="K810">
        <v>10</v>
      </c>
      <c r="L810">
        <v>3</v>
      </c>
      <c r="M810" t="s">
        <v>14</v>
      </c>
      <c r="N810" s="2">
        <v>1639.33</v>
      </c>
      <c r="O810" s="2" t="str">
        <f>IF(EHR_Export[[#This Row],[Arrival Time]]&lt;=TIME(7,0,0), "Night", IF(EHR_Export[[#This Row],[Arrival Time]]&lt;TIME(15,0,0), "Day", "Evening"))</f>
        <v>Evening</v>
      </c>
      <c r="P810" cm="1">
        <f t="array" ref="P810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5</v>
      </c>
    </row>
    <row r="811" spans="1:16" x14ac:dyDescent="0.25">
      <c r="A811" t="s">
        <v>1106</v>
      </c>
      <c r="B811" s="1">
        <v>46112</v>
      </c>
      <c r="C811" s="4">
        <v>0.90069444444444446</v>
      </c>
      <c r="D811" t="s">
        <v>21</v>
      </c>
      <c r="E811" t="s">
        <v>53</v>
      </c>
      <c r="F811" t="s">
        <v>285</v>
      </c>
      <c r="G811">
        <v>33</v>
      </c>
      <c r="H811" t="s">
        <v>849</v>
      </c>
      <c r="I811" t="s">
        <v>38</v>
      </c>
      <c r="J811">
        <v>46</v>
      </c>
      <c r="K811">
        <v>62</v>
      </c>
      <c r="L811">
        <v>3.5</v>
      </c>
      <c r="M811" t="s">
        <v>14</v>
      </c>
      <c r="N811" s="2">
        <v>642.37</v>
      </c>
      <c r="O811" s="2" t="str">
        <f>IF(EHR_Export[[#This Row],[Arrival Time]]&lt;=TIME(7,0,0), "Night", IF(EHR_Export[[#This Row],[Arrival Time]]&lt;TIME(15,0,0), "Day", "Evening"))</f>
        <v>Evening</v>
      </c>
      <c r="P811" cm="1">
        <f t="array" ref="P811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3</v>
      </c>
    </row>
    <row r="812" spans="1:16" x14ac:dyDescent="0.25">
      <c r="A812" t="s">
        <v>1174</v>
      </c>
      <c r="B812" s="1">
        <v>46112</v>
      </c>
      <c r="C812" s="4">
        <v>0.58888888888888891</v>
      </c>
      <c r="D812" t="s">
        <v>21</v>
      </c>
      <c r="E812" t="s">
        <v>53</v>
      </c>
      <c r="F812" t="s">
        <v>353</v>
      </c>
      <c r="G812">
        <v>71</v>
      </c>
      <c r="H812" t="s">
        <v>847</v>
      </c>
      <c r="I812" t="s">
        <v>25</v>
      </c>
      <c r="J812">
        <v>22</v>
      </c>
      <c r="K812">
        <v>20</v>
      </c>
      <c r="L812">
        <v>4.7</v>
      </c>
      <c r="M812" t="s">
        <v>14</v>
      </c>
      <c r="N812" s="2">
        <v>1039.08</v>
      </c>
      <c r="O812" s="2" t="str">
        <f>IF(EHR_Export[[#This Row],[Arrival Time]]&lt;=TIME(7,0,0), "Night", IF(EHR_Export[[#This Row],[Arrival Time]]&lt;TIME(15,0,0), "Day", "Evening"))</f>
        <v>Day</v>
      </c>
      <c r="P812" cm="1">
        <f t="array" ref="P812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813" spans="1:16" x14ac:dyDescent="0.25">
      <c r="A813" t="s">
        <v>1195</v>
      </c>
      <c r="B813" s="1">
        <v>46112</v>
      </c>
      <c r="C813" s="4">
        <v>0.4375</v>
      </c>
      <c r="D813" t="s">
        <v>28</v>
      </c>
      <c r="E813" t="s">
        <v>23</v>
      </c>
      <c r="F813" t="s">
        <v>374</v>
      </c>
      <c r="G813">
        <v>55</v>
      </c>
      <c r="H813" t="s">
        <v>849</v>
      </c>
      <c r="I813" t="s">
        <v>25</v>
      </c>
      <c r="J813">
        <v>25</v>
      </c>
      <c r="K813">
        <v>14</v>
      </c>
      <c r="L813">
        <v>4.5999999999999996</v>
      </c>
      <c r="M813" t="s">
        <v>14</v>
      </c>
      <c r="N813" s="2">
        <v>812.91</v>
      </c>
      <c r="O813" s="2" t="str">
        <f>IF(EHR_Export[[#This Row],[Arrival Time]]&lt;=TIME(7,0,0), "Night", IF(EHR_Export[[#This Row],[Arrival Time]]&lt;TIME(15,0,0), "Day", "Evening"))</f>
        <v>Day</v>
      </c>
      <c r="P813" cm="1">
        <f t="array" ref="P813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9</v>
      </c>
    </row>
    <row r="814" spans="1:16" x14ac:dyDescent="0.25">
      <c r="A814" t="s">
        <v>1251</v>
      </c>
      <c r="B814" s="1">
        <v>46112</v>
      </c>
      <c r="C814" s="4">
        <v>0.17986111111111111</v>
      </c>
      <c r="D814" t="s">
        <v>48</v>
      </c>
      <c r="E814" t="s">
        <v>42</v>
      </c>
      <c r="F814" t="s">
        <v>430</v>
      </c>
      <c r="G814">
        <v>73</v>
      </c>
      <c r="H814" t="s">
        <v>849</v>
      </c>
      <c r="I814" t="s">
        <v>25</v>
      </c>
      <c r="J814">
        <v>54</v>
      </c>
      <c r="K814">
        <v>40</v>
      </c>
      <c r="L814">
        <v>2.8</v>
      </c>
      <c r="M814" t="s">
        <v>14</v>
      </c>
      <c r="N814" s="2">
        <v>981.64</v>
      </c>
      <c r="O814" s="2" t="str">
        <f>IF(EHR_Export[[#This Row],[Arrival Time]]&lt;=TIME(7,0,0), "Night", IF(EHR_Export[[#This Row],[Arrival Time]]&lt;TIME(15,0,0), "Day", "Evening"))</f>
        <v>Night</v>
      </c>
      <c r="P814" cm="1">
        <f t="array" ref="P814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</v>
      </c>
    </row>
    <row r="815" spans="1:16" x14ac:dyDescent="0.25">
      <c r="A815" t="s">
        <v>1352</v>
      </c>
      <c r="B815" s="1">
        <v>46112</v>
      </c>
      <c r="C815" s="4">
        <v>0.55000000000000004</v>
      </c>
      <c r="D815" t="s">
        <v>58</v>
      </c>
      <c r="E815" t="s">
        <v>842</v>
      </c>
      <c r="F815" t="s">
        <v>531</v>
      </c>
      <c r="G815">
        <v>42</v>
      </c>
      <c r="H815" t="s">
        <v>847</v>
      </c>
      <c r="I815" t="s">
        <v>38</v>
      </c>
      <c r="J815">
        <v>48</v>
      </c>
      <c r="K815">
        <v>118</v>
      </c>
      <c r="L815">
        <v>3.5</v>
      </c>
      <c r="M815" t="s">
        <v>14</v>
      </c>
      <c r="N815" s="2">
        <v>3076.71</v>
      </c>
      <c r="O815" s="2" t="str">
        <f>IF(EHR_Export[[#This Row],[Arrival Time]]&lt;=TIME(7,0,0), "Night", IF(EHR_Export[[#This Row],[Arrival Time]]&lt;TIME(15,0,0), "Day", "Evening"))</f>
        <v>Day</v>
      </c>
      <c r="P815" cm="1">
        <f t="array" ref="P815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11</v>
      </c>
    </row>
    <row r="816" spans="1:16" x14ac:dyDescent="0.25">
      <c r="A816" t="s">
        <v>1540</v>
      </c>
      <c r="B816" s="1">
        <v>46112</v>
      </c>
      <c r="C816" s="4">
        <v>0.48402777777777778</v>
      </c>
      <c r="D816" t="s">
        <v>21</v>
      </c>
      <c r="E816" t="s">
        <v>53</v>
      </c>
      <c r="F816" t="s">
        <v>719</v>
      </c>
      <c r="G816">
        <v>31</v>
      </c>
      <c r="H816" t="s">
        <v>849</v>
      </c>
      <c r="I816" t="s">
        <v>38</v>
      </c>
      <c r="J816">
        <v>12</v>
      </c>
      <c r="K816">
        <v>32</v>
      </c>
      <c r="L816">
        <v>4.8</v>
      </c>
      <c r="M816" t="s">
        <v>14</v>
      </c>
      <c r="N816" s="2">
        <v>976.68</v>
      </c>
      <c r="O816" s="2" t="str">
        <f>IF(EHR_Export[[#This Row],[Arrival Time]]&lt;=TIME(7,0,0), "Night", IF(EHR_Export[[#This Row],[Arrival Time]]&lt;TIME(15,0,0), "Day", "Evening"))</f>
        <v>Day</v>
      </c>
      <c r="P816" cm="1">
        <f t="array" ref="P816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6</v>
      </c>
    </row>
    <row r="817" spans="1:16" x14ac:dyDescent="0.25">
      <c r="A817" t="s">
        <v>1595</v>
      </c>
      <c r="B817" s="1">
        <v>46112</v>
      </c>
      <c r="C817" s="4">
        <v>0.25972222222222224</v>
      </c>
      <c r="D817" t="s">
        <v>58</v>
      </c>
      <c r="E817" t="s">
        <v>842</v>
      </c>
      <c r="F817" t="s">
        <v>774</v>
      </c>
      <c r="G817">
        <v>18</v>
      </c>
      <c r="H817" t="s">
        <v>849</v>
      </c>
      <c r="I817" t="s">
        <v>38</v>
      </c>
      <c r="J817">
        <v>63</v>
      </c>
      <c r="K817">
        <v>62</v>
      </c>
      <c r="L817">
        <v>3.7</v>
      </c>
      <c r="M817" t="s">
        <v>14</v>
      </c>
      <c r="N817" s="2">
        <v>2866.73</v>
      </c>
      <c r="O817" s="2" t="str">
        <f>IF(EHR_Export[[#This Row],[Arrival Time]]&lt;=TIME(7,0,0), "Night", IF(EHR_Export[[#This Row],[Arrival Time]]&lt;TIME(15,0,0), "Day", "Evening"))</f>
        <v>Night</v>
      </c>
      <c r="P817" cm="1">
        <f t="array" ref="P817">_xlfn.XLOOKUP(1,(Daily_Staffing_Log[Log Date]=EHR_Export[[#This Row],[Visit Date]])*(Daily_Staffing_Log[Department Code]=EHR_Export[[#This Row],[Department Code]])*(Daily_Staffing_Log[Shift]=EHR_Export[[#This Row],[Shift Type]]),Daily_Staffing_Log[Staff on Duty],"Unknown")</f>
        <v>4</v>
      </c>
    </row>
  </sheetData>
  <sheetProtection algorithmName="SHA-512" hashValue="rXMgEuNcvHd0XnWWhfMDaOWKYrPzRjrbgddi4cRLNW3Tg2Y/nu0y2h+rQeUNfmT7/uDFI6HdNOhWx6Bc/i9beg==" saltValue="q+I3BZubvA6LtqNZMatCbw==" spinCount="100000"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4256-E4C6-45C4-8A7F-00D9AC86C431}">
  <dimension ref="A1:N38"/>
  <sheetViews>
    <sheetView workbookViewId="0">
      <selection activeCell="G21" sqref="G21"/>
    </sheetView>
  </sheetViews>
  <sheetFormatPr defaultRowHeight="15" x14ac:dyDescent="0.25"/>
  <cols>
    <col min="1" max="1" width="25.7109375" customWidth="1"/>
    <col min="2" max="2" width="19" customWidth="1"/>
    <col min="3" max="3" width="26.7109375" bestFit="1" customWidth="1"/>
    <col min="4" max="4" width="15.42578125" bestFit="1" customWidth="1"/>
    <col min="5" max="5" width="14.42578125" customWidth="1"/>
    <col min="6" max="6" width="11" bestFit="1" customWidth="1"/>
    <col min="7" max="7" width="12.85546875" customWidth="1"/>
    <col min="8" max="8" width="12.42578125" bestFit="1" customWidth="1"/>
    <col min="9" max="9" width="17.5703125" bestFit="1" customWidth="1"/>
    <col min="10" max="10" width="11.85546875" customWidth="1"/>
    <col min="11" max="11" width="14.85546875" bestFit="1" customWidth="1"/>
    <col min="12" max="12" width="16.28515625" bestFit="1" customWidth="1"/>
    <col min="13" max="13" width="20.140625" bestFit="1" customWidth="1"/>
    <col min="14" max="14" width="17.42578125" bestFit="1" customWidth="1"/>
  </cols>
  <sheetData>
    <row r="1" spans="1:14" s="5" customFormat="1" x14ac:dyDescent="0.25">
      <c r="A1" s="5" t="s">
        <v>1650</v>
      </c>
      <c r="B1" s="5" t="s">
        <v>1680</v>
      </c>
      <c r="C1" s="5" t="s">
        <v>1681</v>
      </c>
      <c r="D1" s="5" t="s">
        <v>1651</v>
      </c>
      <c r="E1" s="5" t="s">
        <v>1652</v>
      </c>
      <c r="F1" s="5" t="s">
        <v>1653</v>
      </c>
      <c r="G1" s="5" t="s">
        <v>1654</v>
      </c>
      <c r="H1" s="5" t="s">
        <v>1655</v>
      </c>
      <c r="I1" s="5" t="s">
        <v>1656</v>
      </c>
      <c r="J1" s="5" t="s">
        <v>1691</v>
      </c>
      <c r="K1" s="5" t="s">
        <v>1650</v>
      </c>
      <c r="L1" s="5" t="s">
        <v>829</v>
      </c>
      <c r="M1" s="5" t="s">
        <v>831</v>
      </c>
      <c r="N1" s="5" t="s">
        <v>833</v>
      </c>
    </row>
    <row r="2" spans="1:14" x14ac:dyDescent="0.25">
      <c r="A2" t="s">
        <v>46</v>
      </c>
      <c r="B2" s="13">
        <f>AVERAGEIF(EHR_Export[Department Full Name], Dashboard_Calculator!A2, EHR_Export[Wait Time (min)])</f>
        <v>42.856000000000002</v>
      </c>
      <c r="C2" s="8">
        <f>AVERAGEIF(EHR_Export[Department Full Name],Dashboard_Calculator!A2,EHR_Export[Treatment Time (min)])</f>
        <v>43.616</v>
      </c>
      <c r="D2" s="14">
        <f>AVERAGEIF(EHR_Export[Department Full Name],Dashboard_Calculator!A2,EHR_Export[Satisfaction (1-5)])</f>
        <v>3.6214953271028043</v>
      </c>
      <c r="E2" s="8">
        <f>D2-3.8</f>
        <v>-0.17850467289719552</v>
      </c>
      <c r="F2" s="2">
        <f>AVERAGEIFS(EHR_Export[Charge Amount],EHR_Export[Department Full Name],A2,EHR_Export[Charge Amount],"&lt;&gt;")</f>
        <v>1763.0101639344266</v>
      </c>
      <c r="G2" s="2">
        <f>_xlfn.XLOOKUP(Dashboard_Calculator!A2,Dept_Reference[Full Department Name],Dept_Reference[Standard Base Cost ($)])</f>
        <v>1800</v>
      </c>
      <c r="H2" s="2">
        <f>F2-G2</f>
        <v>-36.9898360655734</v>
      </c>
      <c r="I2" s="10">
        <f>COUNTIFS(EHR_Export[Department Full Name],Dashboard_Calculator!A2,EHR_Export[Readmitted 30d],"Yes")/COUNTIF(EHR_Export[Department Full Name],Dashboard_Calculator!A2)</f>
        <v>8.7999999999999995E-2</v>
      </c>
      <c r="K2" t="s">
        <v>46</v>
      </c>
      <c r="L2" s="8">
        <f>AVERAGEIFS(EHR_Export[Wait Time (min)],EHR_Export[Department Full Name],Dashboard_Calculator!K2,EHR_Export[Shift Type],Dashboard_Calculator!L$1)</f>
        <v>37.942307692307693</v>
      </c>
      <c r="M2" s="8">
        <f>AVERAGEIFS(EHR_Export[Wait Time (min)],EHR_Export[Department Full Name],Dashboard_Calculator!K2,EHR_Export[Shift Type],M$1)</f>
        <v>48.20967741935484</v>
      </c>
      <c r="N2" s="8">
        <f>AVERAGEIFS(EHR_Export[Wait Time (min)],EHR_Export[Department Full Name],Dashboard_Calculator!K2,EHR_Export[Shift Type],N$1)</f>
        <v>35.909090909090907</v>
      </c>
    </row>
    <row r="3" spans="1:14" x14ac:dyDescent="0.25">
      <c r="A3" t="s">
        <v>23</v>
      </c>
      <c r="B3" s="13">
        <f>AVERAGEIF(EHR_Export[Department Full Name], Dashboard_Calculator!A3, EHR_Export[Wait Time (min)])</f>
        <v>55.215873015873015</v>
      </c>
      <c r="C3" s="8">
        <f>AVERAGEIF(EHR_Export[Department Full Name],Dashboard_Calculator!A3,EHR_Export[Treatment Time (min)])</f>
        <v>39.793650793650791</v>
      </c>
      <c r="D3" s="13">
        <f>AVERAGEIF(EHR_Export[Department Full Name],Dashboard_Calculator!A3,EHR_Export[Satisfaction (1-5)])</f>
        <v>3.4729824561403499</v>
      </c>
      <c r="E3" s="8">
        <f t="shared" ref="E3:E6" si="0">D3-3.8</f>
        <v>-0.32701754385964987</v>
      </c>
      <c r="F3" s="2">
        <f>AVERAGEIFS(EHR_Export[Charge Amount],EHR_Export[Department Full Name],A3,EHR_Export[Charge Amount],"&lt;&gt;")</f>
        <v>852.69322580645132</v>
      </c>
      <c r="G3" s="2">
        <f>_xlfn.XLOOKUP(Dashboard_Calculator!A3,Dept_Reference[Full Department Name],Dept_Reference[Standard Base Cost ($)])</f>
        <v>850</v>
      </c>
      <c r="H3" s="2">
        <f t="shared" ref="H3:H6" si="1">F3-G3</f>
        <v>2.6932258064513235</v>
      </c>
      <c r="I3" s="10">
        <f>COUNTIFS(EHR_Export[Department Full Name],Dashboard_Calculator!A3,EHR_Export[Readmitted 30d],"Yes")/COUNTIF(EHR_Export[Department Full Name],Dashboard_Calculator!A3)</f>
        <v>8.8888888888888892E-2</v>
      </c>
      <c r="K3" t="s">
        <v>23</v>
      </c>
      <c r="L3" s="8">
        <f>AVERAGEIFS(EHR_Export[Wait Time (min)],EHR_Export[Department Full Name],Dashboard_Calculator!K3,EHR_Export[Shift Type],Dashboard_Calculator!L$1)</f>
        <v>48.307692307692307</v>
      </c>
      <c r="M3" s="13">
        <f>AVERAGEIFS(EHR_Export[Wait Time (min)],EHR_Export[Department Full Name],Dashboard_Calculator!K3,EHR_Export[Shift Type],M$1)</f>
        <v>62.758389261744966</v>
      </c>
      <c r="N3" s="8">
        <f>AVERAGEIFS(EHR_Export[Wait Time (min)],EHR_Export[Department Full Name],Dashboard_Calculator!K3,EHR_Export[Shift Type],N$1)</f>
        <v>49.304347826086953</v>
      </c>
    </row>
    <row r="4" spans="1:14" x14ac:dyDescent="0.25">
      <c r="A4" t="s">
        <v>842</v>
      </c>
      <c r="B4" s="13">
        <f>AVERAGEIF(EHR_Export[Department Full Name], Dashboard_Calculator!A4, EHR_Export[Wait Time (min)])</f>
        <v>69.574803149606296</v>
      </c>
      <c r="C4" s="13">
        <f>AVERAGEIF(EHR_Export[Department Full Name],Dashboard_Calculator!A4,EHR_Export[Treatment Time (min)])</f>
        <v>89.4015748031496</v>
      </c>
      <c r="D4" s="13">
        <f>AVERAGEIF(EHR_Export[Department Full Name],Dashboard_Calculator!A4,EHR_Export[Satisfaction (1-5)])</f>
        <v>3.2139344262295073</v>
      </c>
      <c r="E4" s="8">
        <f t="shared" si="0"/>
        <v>-0.58606557377049251</v>
      </c>
      <c r="F4" s="2">
        <f>AVERAGEIFS(EHR_Export[Charge Amount],EHR_Export[Department Full Name],A4,EHR_Export[Charge Amount],"&lt;&gt;")</f>
        <v>3239.217119999998</v>
      </c>
      <c r="G4" s="2">
        <f>_xlfn.XLOOKUP(Dashboard_Calculator!A4,Dept_Reference[Full Department Name],Dept_Reference[Standard Base Cost ($)])</f>
        <v>3200</v>
      </c>
      <c r="H4" s="2">
        <f t="shared" si="1"/>
        <v>39.217119999997976</v>
      </c>
      <c r="I4" s="12">
        <f>COUNTIFS(EHR_Export[Department Full Name],Dashboard_Calculator!A4,EHR_Export[Readmitted 30d],"Yes")/COUNTIF(EHR_Export[Department Full Name],Dashboard_Calculator!A4)</f>
        <v>0.11023622047244094</v>
      </c>
      <c r="K4" t="s">
        <v>842</v>
      </c>
      <c r="L4" s="8">
        <f>AVERAGEIFS(EHR_Export[Wait Time (min)],EHR_Export[Department Full Name],Dashboard_Calculator!K4,EHR_Export[Shift Type],Dashboard_Calculator!L$1)</f>
        <v>58.431034482758619</v>
      </c>
      <c r="M4" s="13">
        <f>AVERAGEIFS(EHR_Export[Wait Time (min)],EHR_Export[Department Full Name],Dashboard_Calculator!K4,EHR_Export[Shift Type],M$1)</f>
        <v>81.406779661016955</v>
      </c>
      <c r="N4" s="8">
        <f>AVERAGEIFS(EHR_Export[Wait Time (min)],EHR_Export[Department Full Name],Dashboard_Calculator!K4,EHR_Export[Shift Type],N$1)</f>
        <v>64.400000000000006</v>
      </c>
    </row>
    <row r="5" spans="1:14" x14ac:dyDescent="0.25">
      <c r="A5" t="s">
        <v>42</v>
      </c>
      <c r="B5" s="13">
        <f>AVERAGEIF(EHR_Export[Department Full Name], Dashboard_Calculator!A5, EHR_Export[Wait Time (min)])</f>
        <v>64.090090090090087</v>
      </c>
      <c r="C5" s="8">
        <f>AVERAGEIF(EHR_Export[Department Full Name],Dashboard_Calculator!A5,EHR_Export[Treatment Time (min)])</f>
        <v>40.252252252252255</v>
      </c>
      <c r="D5" s="13">
        <f>AVERAGEIF(EHR_Export[Department Full Name],Dashboard_Calculator!A5,EHR_Export[Satisfaction (1-5)])</f>
        <v>3.3056603773584907</v>
      </c>
      <c r="E5" s="8">
        <f t="shared" si="0"/>
        <v>-0.4943396226415091</v>
      </c>
      <c r="F5" s="2">
        <f>AVERAGEIFS(EHR_Export[Charge Amount],EHR_Export[Department Full Name],A5,EHR_Export[Charge Amount],"&lt;&gt;")</f>
        <v>1507.6381481481485</v>
      </c>
      <c r="G5" s="2">
        <f>_xlfn.XLOOKUP(Dashboard_Calculator!A5,Dept_Reference[Full Department Name],Dept_Reference[Standard Base Cost ($)])</f>
        <v>1500</v>
      </c>
      <c r="H5" s="2">
        <f t="shared" si="1"/>
        <v>7.6381481481485025</v>
      </c>
      <c r="I5" s="10">
        <f>COUNTIFS(EHR_Export[Department Full Name],Dashboard_Calculator!A5,EHR_Export[Readmitted 30d],"Yes")/COUNTIF(EHR_Export[Department Full Name],Dashboard_Calculator!A5)</f>
        <v>9.0090090090090086E-2</v>
      </c>
      <c r="K5" t="s">
        <v>42</v>
      </c>
      <c r="L5" s="8">
        <f>AVERAGEIFS(EHR_Export[Wait Time (min)],EHR_Export[Department Full Name],Dashboard_Calculator!K5,EHR_Export[Shift Type],Dashboard_Calculator!L$1)</f>
        <v>52.521739130434781</v>
      </c>
      <c r="M5" s="13">
        <f>AVERAGEIFS(EHR_Export[Wait Time (min)],EHR_Export[Department Full Name],Dashboard_Calculator!K5,EHR_Export[Shift Type],M$1)</f>
        <v>76.351851851851848</v>
      </c>
      <c r="N5" s="8">
        <f>AVERAGEIFS(EHR_Export[Wait Time (min)],EHR_Export[Department Full Name],Dashboard_Calculator!K5,EHR_Export[Shift Type],N$1)</f>
        <v>52.272727272727273</v>
      </c>
    </row>
    <row r="6" spans="1:14" x14ac:dyDescent="0.25">
      <c r="A6" t="s">
        <v>53</v>
      </c>
      <c r="B6" s="13">
        <f>AVERAGEIF(EHR_Export[Department Full Name], Dashboard_Calculator!A6, EHR_Export[Wait Time (min)])</f>
        <v>38.333333333333336</v>
      </c>
      <c r="C6" s="8">
        <f>AVERAGEIF(EHR_Export[Department Full Name],Dashboard_Calculator!A6,EHR_Export[Treatment Time (min)])</f>
        <v>40.963768115942031</v>
      </c>
      <c r="D6" s="14">
        <f>AVERAGEIF(EHR_Export[Department Full Name],Dashboard_Calculator!A6,EHR_Export[Satisfaction (1-5)])</f>
        <v>3.7697674418604645</v>
      </c>
      <c r="E6" s="8">
        <f t="shared" si="0"/>
        <v>-3.0232558139535293E-2</v>
      </c>
      <c r="F6" s="2">
        <f>AVERAGEIFS(EHR_Export[Charge Amount],EHR_Export[Department Full Name],A6,EHR_Export[Charge Amount],"&lt;&gt;")</f>
        <v>697.87678832116785</v>
      </c>
      <c r="G6" s="2">
        <f>_xlfn.XLOOKUP(Dashboard_Calculator!A6,Dept_Reference[Full Department Name],Dept_Reference[Standard Base Cost ($)])</f>
        <v>700</v>
      </c>
      <c r="H6" s="2">
        <f t="shared" si="1"/>
        <v>-2.1232116788321491</v>
      </c>
      <c r="I6" s="12">
        <f>COUNTIFS(EHR_Export[Department Full Name],Dashboard_Calculator!A6,EHR_Export[Readmitted 30d],"Yes")/COUNTIF(EHR_Export[Department Full Name],Dashboard_Calculator!A6)</f>
        <v>0.12318840579710146</v>
      </c>
      <c r="K6" t="s">
        <v>53</v>
      </c>
      <c r="L6" s="8">
        <f>AVERAGEIFS(EHR_Export[Wait Time (min)],EHR_Export[Department Full Name],Dashboard_Calculator!K6,EHR_Export[Shift Type],Dashboard_Calculator!L$1)</f>
        <v>33.824561403508774</v>
      </c>
      <c r="M6" s="8">
        <f>AVERAGEIFS(EHR_Export[Wait Time (min)],EHR_Export[Department Full Name],Dashboard_Calculator!K6,EHR_Export[Shift Type],M$1)</f>
        <v>43.149253731343286</v>
      </c>
      <c r="N6" s="8">
        <f>AVERAGEIFS(EHR_Export[Wait Time (min)],EHR_Export[Department Full Name],Dashboard_Calculator!K6,EHR_Export[Shift Type],N$1)</f>
        <v>33.642857142857146</v>
      </c>
    </row>
    <row r="8" spans="1:14" x14ac:dyDescent="0.25">
      <c r="J8" s="5" t="s">
        <v>1690</v>
      </c>
      <c r="K8" s="5" t="s">
        <v>1650</v>
      </c>
      <c r="L8" s="5" t="s">
        <v>829</v>
      </c>
      <c r="M8" s="5" t="s">
        <v>831</v>
      </c>
      <c r="N8" s="5" t="s">
        <v>833</v>
      </c>
    </row>
    <row r="9" spans="1:14" x14ac:dyDescent="0.25">
      <c r="K9" t="s">
        <v>46</v>
      </c>
      <c r="L9" s="8">
        <f>AVERAGEIFS(EHR_Export[Staff on Duty],EHR_Export[Department Full Name],Dashboard_Calculator!K9,EHR_Export[Shift Type],Dashboard_Calculator!L$8)</f>
        <v>5.6923076923076925</v>
      </c>
      <c r="M9" s="8">
        <f>AVERAGEIFS(EHR_Export[Staff on Duty],EHR_Export[Department Full Name],Dashboard_Calculator!K9,EHR_Export[Shift Type],Dashboard_Calculator!M$8)</f>
        <v>4.887096774193548</v>
      </c>
      <c r="N9" s="8">
        <f>AVERAGEIFS(EHR_Export[Staff on Duty],EHR_Export[Department Full Name],Dashboard_Calculator!K9,EHR_Export[Shift Type],N$8)</f>
        <v>3.5454545454545454</v>
      </c>
    </row>
    <row r="10" spans="1:14" x14ac:dyDescent="0.25">
      <c r="A10" s="5" t="s">
        <v>1657</v>
      </c>
      <c r="B10" s="8">
        <f>AVERAGE(EHR_Export[Satisfaction (1-5)])</f>
        <v>3.4794392523364546</v>
      </c>
      <c r="K10" t="s">
        <v>23</v>
      </c>
      <c r="L10" s="8">
        <f>AVERAGEIFS(EHR_Export[Staff on Duty],EHR_Export[Department Full Name],Dashboard_Calculator!K10,EHR_Export[Shift Type],Dashboard_Calculator!L$8)</f>
        <v>6.3706293706293708</v>
      </c>
      <c r="M10" s="13">
        <f>AVERAGEIFS(EHR_Export[Staff on Duty],EHR_Export[Department Full Name],Dashboard_Calculator!K10,EHR_Export[Shift Type],Dashboard_Calculator!M$8)</f>
        <v>9.5033557046979862</v>
      </c>
      <c r="N10" s="8">
        <f>AVERAGEIFS(EHR_Export[Staff on Duty],EHR_Export[Department Full Name],Dashboard_Calculator!K10,EHR_Export[Shift Type],N$8)</f>
        <v>5.2608695652173916</v>
      </c>
    </row>
    <row r="11" spans="1:14" x14ac:dyDescent="0.25">
      <c r="A11" s="5" t="s">
        <v>1660</v>
      </c>
      <c r="B11" s="8">
        <f>AVERAGE(EHR_Export[Wait Time (min)])</f>
        <v>53.909313725490193</v>
      </c>
      <c r="K11" t="s">
        <v>842</v>
      </c>
      <c r="L11" s="8">
        <f>AVERAGEIFS(EHR_Export[Staff on Duty],EHR_Export[Department Full Name],Dashboard_Calculator!K11,EHR_Export[Shift Type],Dashboard_Calculator!L$8)</f>
        <v>8.8275862068965516</v>
      </c>
      <c r="M11" s="13">
        <f>AVERAGEIFS(EHR_Export[Staff on Duty],EHR_Export[Department Full Name],Dashboard_Calculator!K11,EHR_Export[Shift Type],Dashboard_Calculator!M$8)</f>
        <v>5.593220338983051</v>
      </c>
      <c r="N11" s="8">
        <f>AVERAGEIFS(EHR_Export[Staff on Duty],EHR_Export[Department Full Name],Dashboard_Calculator!K11,EHR_Export[Shift Type],N$8)</f>
        <v>2.2999999999999998</v>
      </c>
    </row>
    <row r="12" spans="1:14" x14ac:dyDescent="0.25">
      <c r="A12" s="5" t="s">
        <v>1658</v>
      </c>
      <c r="B12" s="10">
        <f>COUNTIF(EHR_Export[Readmitted 30d], "Yes")/COUNTA(EHR_Export[Readmitted 30d])</f>
        <v>0.10075566750629723</v>
      </c>
      <c r="K12" t="s">
        <v>42</v>
      </c>
      <c r="L12" s="8">
        <f>AVERAGEIFS(EHR_Export[Staff on Duty],EHR_Export[Department Full Name],Dashboard_Calculator!K12,EHR_Export[Shift Type],Dashboard_Calculator!L$8)</f>
        <v>5.1956521739130439</v>
      </c>
      <c r="M12" s="13">
        <f>AVERAGEIFS(EHR_Export[Staff on Duty],EHR_Export[Department Full Name],Dashboard_Calculator!K12,EHR_Export[Shift Type],Dashboard_Calculator!M$8)</f>
        <v>5</v>
      </c>
      <c r="N12" s="8">
        <f>AVERAGEIFS(EHR_Export[Staff on Duty],EHR_Export[Department Full Name],Dashboard_Calculator!K12,EHR_Export[Shift Type],N$8)</f>
        <v>2.6363636363636362</v>
      </c>
    </row>
    <row r="13" spans="1:14" x14ac:dyDescent="0.25">
      <c r="A13" s="5" t="s">
        <v>1659</v>
      </c>
      <c r="B13" s="2">
        <f>AVERAGE(H2:H6)</f>
        <v>2.0870892420384508</v>
      </c>
      <c r="K13" t="s">
        <v>53</v>
      </c>
      <c r="L13" s="8">
        <f>AVERAGEIFS(EHR_Export[Staff on Duty],EHR_Export[Department Full Name],Dashboard_Calculator!K13,EHR_Export[Shift Type],Dashboard_Calculator!L$8)</f>
        <v>5.7719298245614032</v>
      </c>
      <c r="M13" s="8">
        <f>AVERAGEIFS(EHR_Export[Staff on Duty],EHR_Export[Department Full Name],Dashboard_Calculator!K13,EHR_Export[Shift Type],Dashboard_Calculator!M$8)</f>
        <v>4.5373134328358207</v>
      </c>
      <c r="N13" s="8">
        <f>AVERAGEIFS(EHR_Export[Staff on Duty],EHR_Export[Department Full Name],Dashboard_Calculator!K13,EHR_Export[Shift Type],N$8)</f>
        <v>2.5</v>
      </c>
    </row>
    <row r="15" spans="1:14" x14ac:dyDescent="0.25">
      <c r="J15" s="5" t="s">
        <v>1692</v>
      </c>
      <c r="K15" s="5" t="s">
        <v>1650</v>
      </c>
      <c r="L15" s="5" t="s">
        <v>829</v>
      </c>
      <c r="M15" s="5" t="s">
        <v>831</v>
      </c>
      <c r="N15" s="5" t="s">
        <v>833</v>
      </c>
    </row>
    <row r="16" spans="1:14" x14ac:dyDescent="0.25">
      <c r="A16" s="5" t="s">
        <v>1662</v>
      </c>
      <c r="E16" s="5" t="s">
        <v>1663</v>
      </c>
      <c r="K16" t="s">
        <v>46</v>
      </c>
      <c r="L16">
        <f>COUNTIFS(EHR_Export[Shift Type],Dashboard_Calculator!L$15,EHR_Export[Department Full Name],Dashboard_Calculator!$K16)</f>
        <v>52</v>
      </c>
      <c r="M16">
        <f>COUNTIFS(EHR_Export[Shift Type],Dashboard_Calculator!M$15,EHR_Export[Department Full Name],Dashboard_Calculator!$K16)</f>
        <v>62</v>
      </c>
      <c r="N16">
        <f>COUNTIFS(EHR_Export[Shift Type],Dashboard_Calculator!N$15,EHR_Export[Department Full Name],Dashboard_Calculator!$K16)</f>
        <v>11</v>
      </c>
    </row>
    <row r="17" spans="1:14" x14ac:dyDescent="0.25">
      <c r="A17" s="6" t="s">
        <v>1648</v>
      </c>
      <c r="B17" t="s">
        <v>1661</v>
      </c>
      <c r="C17" t="s">
        <v>1649</v>
      </c>
      <c r="E17" t="s">
        <v>1664</v>
      </c>
      <c r="F17" s="8">
        <v>37.942307692307693</v>
      </c>
      <c r="G17" s="8">
        <v>3.7227272727272731</v>
      </c>
      <c r="K17" t="s">
        <v>23</v>
      </c>
      <c r="L17">
        <f>COUNTIFS(EHR_Export[Shift Type],Dashboard_Calculator!L$15,EHR_Export[Department Full Name],Dashboard_Calculator!$K17)</f>
        <v>143</v>
      </c>
      <c r="M17">
        <f>COUNTIFS(EHR_Export[Shift Type],Dashboard_Calculator!M$15,EHR_Export[Department Full Name],Dashboard_Calculator!$K17)</f>
        <v>149</v>
      </c>
      <c r="N17">
        <f>COUNTIFS(EHR_Export[Shift Type],Dashboard_Calculator!N$15,EHR_Export[Department Full Name],Dashboard_Calculator!$K17)</f>
        <v>23</v>
      </c>
    </row>
    <row r="18" spans="1:14" x14ac:dyDescent="0.25">
      <c r="A18" s="7" t="s">
        <v>126</v>
      </c>
      <c r="B18" s="8"/>
      <c r="C18" s="8"/>
      <c r="D18" s="8"/>
      <c r="E18" t="s">
        <v>1665</v>
      </c>
      <c r="F18" s="13">
        <v>48.20967741935484</v>
      </c>
      <c r="G18" s="13">
        <v>3.4581818181818194</v>
      </c>
      <c r="K18" t="s">
        <v>842</v>
      </c>
      <c r="L18">
        <f>COUNTIFS(EHR_Export[Shift Type],Dashboard_Calculator!L$15,EHR_Export[Department Full Name],Dashboard_Calculator!$K18)</f>
        <v>58</v>
      </c>
      <c r="M18">
        <f>COUNTIFS(EHR_Export[Shift Type],Dashboard_Calculator!M$15,EHR_Export[Department Full Name],Dashboard_Calculator!$K18)</f>
        <v>59</v>
      </c>
      <c r="N18">
        <f>COUNTIFS(EHR_Export[Shift Type],Dashboard_Calculator!N$15,EHR_Export[Department Full Name],Dashboard_Calculator!$K18)</f>
        <v>10</v>
      </c>
    </row>
    <row r="19" spans="1:14" x14ac:dyDescent="0.25">
      <c r="A19" s="9" t="s">
        <v>829</v>
      </c>
      <c r="B19" s="8">
        <v>43.403846153846153</v>
      </c>
      <c r="C19" s="8">
        <v>3.7227272727272731</v>
      </c>
      <c r="D19" s="8"/>
      <c r="E19" t="s">
        <v>1666</v>
      </c>
      <c r="F19" s="8">
        <v>35.909090909090907</v>
      </c>
      <c r="G19" s="8">
        <v>4.1875</v>
      </c>
      <c r="K19" t="s">
        <v>42</v>
      </c>
      <c r="L19">
        <f>COUNTIFS(EHR_Export[Shift Type],Dashboard_Calculator!L$15,EHR_Export[Department Full Name],Dashboard_Calculator!$K19)</f>
        <v>46</v>
      </c>
      <c r="M19">
        <f>COUNTIFS(EHR_Export[Shift Type],Dashboard_Calculator!M$15,EHR_Export[Department Full Name],Dashboard_Calculator!$K19)</f>
        <v>54</v>
      </c>
      <c r="N19">
        <f>COUNTIFS(EHR_Export[Shift Type],Dashboard_Calculator!N$15,EHR_Export[Department Full Name],Dashboard_Calculator!$K19)</f>
        <v>11</v>
      </c>
    </row>
    <row r="20" spans="1:14" x14ac:dyDescent="0.25">
      <c r="A20" s="9" t="s">
        <v>831</v>
      </c>
      <c r="B20" s="8">
        <v>43.467741935483872</v>
      </c>
      <c r="C20" s="8">
        <v>3.4581818181818194</v>
      </c>
      <c r="D20" s="8"/>
      <c r="E20" s="8" t="s">
        <v>1667</v>
      </c>
      <c r="F20" s="8">
        <v>48.307692307692307</v>
      </c>
      <c r="G20" s="8">
        <v>3.5333333333333332</v>
      </c>
      <c r="K20" t="s">
        <v>53</v>
      </c>
      <c r="L20">
        <f>COUNTIFS(EHR_Export[Shift Type],Dashboard_Calculator!L$15,EHR_Export[Department Full Name],Dashboard_Calculator!$K20)</f>
        <v>57</v>
      </c>
      <c r="M20">
        <f>COUNTIFS(EHR_Export[Shift Type],Dashboard_Calculator!M$15,EHR_Export[Department Full Name],Dashboard_Calculator!$K20)</f>
        <v>67</v>
      </c>
      <c r="N20">
        <f>COUNTIFS(EHR_Export[Shift Type],Dashboard_Calculator!N$15,EHR_Export[Department Full Name],Dashboard_Calculator!$K20)</f>
        <v>14</v>
      </c>
    </row>
    <row r="21" spans="1:14" x14ac:dyDescent="0.25">
      <c r="A21" s="9" t="s">
        <v>833</v>
      </c>
      <c r="B21" s="8">
        <v>45.454545454545453</v>
      </c>
      <c r="C21" s="8">
        <v>4.1875</v>
      </c>
      <c r="D21" s="8"/>
      <c r="E21" t="s">
        <v>1668</v>
      </c>
      <c r="F21" s="13">
        <v>62.758389261744966</v>
      </c>
      <c r="G21" s="13">
        <v>3.3962406015037594</v>
      </c>
    </row>
    <row r="22" spans="1:14" x14ac:dyDescent="0.25">
      <c r="A22" s="7" t="s">
        <v>28</v>
      </c>
      <c r="B22" s="8"/>
      <c r="C22" s="8"/>
      <c r="D22" s="8"/>
      <c r="E22" t="s">
        <v>1669</v>
      </c>
      <c r="F22" s="8">
        <v>49.304347826086953</v>
      </c>
      <c r="G22" s="8">
        <v>3.5782608695652174</v>
      </c>
    </row>
    <row r="23" spans="1:14" x14ac:dyDescent="0.25">
      <c r="A23" s="9" t="s">
        <v>829</v>
      </c>
      <c r="B23" s="8">
        <v>37.244755244755247</v>
      </c>
      <c r="C23" s="8">
        <v>3.5333333333333332</v>
      </c>
      <c r="D23" s="8"/>
      <c r="E23" t="s">
        <v>1670</v>
      </c>
      <c r="F23" s="8">
        <v>52.521739130434781</v>
      </c>
      <c r="G23" s="8">
        <v>3.2930232558139534</v>
      </c>
    </row>
    <row r="24" spans="1:14" x14ac:dyDescent="0.25">
      <c r="A24" s="9" t="s">
        <v>831</v>
      </c>
      <c r="B24" s="8">
        <v>42.268456375838923</v>
      </c>
      <c r="C24" s="8">
        <v>3.3962406015037594</v>
      </c>
      <c r="D24" s="8"/>
      <c r="E24" s="8" t="s">
        <v>1671</v>
      </c>
      <c r="F24" s="13">
        <v>76.351851851851848</v>
      </c>
      <c r="G24" s="13">
        <v>3.2634615384615393</v>
      </c>
    </row>
    <row r="25" spans="1:14" x14ac:dyDescent="0.25">
      <c r="A25" s="9" t="s">
        <v>833</v>
      </c>
      <c r="B25" s="8">
        <v>39.608695652173914</v>
      </c>
      <c r="C25" s="8">
        <v>3.5782608695652174</v>
      </c>
      <c r="D25" s="8"/>
      <c r="E25" s="8" t="s">
        <v>1672</v>
      </c>
      <c r="F25" s="8">
        <v>52.272727272727273</v>
      </c>
      <c r="G25" s="8">
        <v>3.5545454545454547</v>
      </c>
    </row>
    <row r="26" spans="1:14" x14ac:dyDescent="0.25">
      <c r="A26" s="7" t="s">
        <v>48</v>
      </c>
      <c r="B26" s="8"/>
      <c r="C26" s="8"/>
      <c r="D26" s="8"/>
      <c r="E26" s="8" t="s">
        <v>1673</v>
      </c>
      <c r="F26" s="8">
        <v>33.824561403508774</v>
      </c>
      <c r="G26" s="8">
        <v>3.8425925925925921</v>
      </c>
    </row>
    <row r="27" spans="1:14" x14ac:dyDescent="0.25">
      <c r="A27" s="9" t="s">
        <v>829</v>
      </c>
      <c r="B27" s="8">
        <v>37.782608695652172</v>
      </c>
      <c r="C27" s="8">
        <v>3.2930232558139534</v>
      </c>
      <c r="D27" s="8"/>
      <c r="E27" s="8" t="s">
        <v>1674</v>
      </c>
      <c r="F27" s="8">
        <v>43.149253731343286</v>
      </c>
      <c r="G27" s="8">
        <v>3.7032786885245903</v>
      </c>
    </row>
    <row r="28" spans="1:14" x14ac:dyDescent="0.25">
      <c r="A28" s="9" t="s">
        <v>831</v>
      </c>
      <c r="B28" s="8">
        <v>41.629629629629626</v>
      </c>
      <c r="C28" s="8">
        <v>3.2634615384615393</v>
      </c>
      <c r="D28" s="8"/>
      <c r="E28" s="8" t="s">
        <v>1675</v>
      </c>
      <c r="F28" s="8">
        <v>33.642857142857146</v>
      </c>
      <c r="G28" s="8">
        <v>3.778571428571428</v>
      </c>
    </row>
    <row r="29" spans="1:14" x14ac:dyDescent="0.25">
      <c r="A29" s="9" t="s">
        <v>833</v>
      </c>
      <c r="B29" s="8">
        <v>43.81818181818182</v>
      </c>
      <c r="C29" s="8">
        <v>3.5545454545454547</v>
      </c>
      <c r="D29" s="8"/>
      <c r="E29" s="8" t="s">
        <v>1676</v>
      </c>
      <c r="F29" s="8">
        <v>58.431034482758619</v>
      </c>
      <c r="G29" s="8">
        <v>3.4249999999999994</v>
      </c>
    </row>
    <row r="30" spans="1:14" x14ac:dyDescent="0.25">
      <c r="A30" s="7" t="s">
        <v>21</v>
      </c>
      <c r="B30" s="8"/>
      <c r="C30" s="8"/>
      <c r="D30" s="8"/>
      <c r="E30" s="8" t="s">
        <v>1677</v>
      </c>
      <c r="F30" s="13">
        <v>81.406779661016955</v>
      </c>
      <c r="G30" s="13">
        <v>2.9553571428571437</v>
      </c>
    </row>
    <row r="31" spans="1:14" x14ac:dyDescent="0.25">
      <c r="A31" s="9" t="s">
        <v>829</v>
      </c>
      <c r="B31" s="8">
        <v>40.666666666666664</v>
      </c>
      <c r="C31" s="8">
        <v>3.8425925925925921</v>
      </c>
      <c r="D31" s="8"/>
      <c r="E31" s="8" t="s">
        <v>1678</v>
      </c>
      <c r="F31" s="8">
        <v>64.400000000000006</v>
      </c>
      <c r="G31" s="8">
        <v>3.4799999999999995</v>
      </c>
    </row>
    <row r="32" spans="1:14" x14ac:dyDescent="0.25">
      <c r="A32" s="9" t="s">
        <v>831</v>
      </c>
      <c r="B32" s="8">
        <v>41.71641791044776</v>
      </c>
      <c r="C32" s="8">
        <v>3.7032786885245903</v>
      </c>
      <c r="D32" s="8"/>
    </row>
    <row r="33" spans="1:3" x14ac:dyDescent="0.25">
      <c r="A33" s="9" t="s">
        <v>833</v>
      </c>
      <c r="B33" s="8">
        <v>38.571428571428569</v>
      </c>
      <c r="C33" s="8">
        <v>3.778571428571428</v>
      </c>
    </row>
    <row r="34" spans="1:3" x14ac:dyDescent="0.25">
      <c r="A34" s="7" t="s">
        <v>58</v>
      </c>
      <c r="B34" s="8"/>
      <c r="C34" s="8"/>
    </row>
    <row r="35" spans="1:3" x14ac:dyDescent="0.25">
      <c r="A35" s="9" t="s">
        <v>829</v>
      </c>
      <c r="B35" s="8">
        <v>90.15517241379311</v>
      </c>
      <c r="C35" s="8">
        <v>3.4249999999999994</v>
      </c>
    </row>
    <row r="36" spans="1:3" x14ac:dyDescent="0.25">
      <c r="A36" s="9" t="s">
        <v>831</v>
      </c>
      <c r="B36" s="8">
        <v>88.525423728813564</v>
      </c>
      <c r="C36" s="8">
        <v>2.9553571428571437</v>
      </c>
    </row>
    <row r="37" spans="1:3" x14ac:dyDescent="0.25">
      <c r="A37" s="9" t="s">
        <v>833</v>
      </c>
      <c r="B37" s="8">
        <v>90.2</v>
      </c>
      <c r="C37" s="8">
        <v>3.4799999999999995</v>
      </c>
    </row>
    <row r="38" spans="1:3" x14ac:dyDescent="0.25">
      <c r="A38" s="7" t="s">
        <v>1647</v>
      </c>
      <c r="B38" s="8">
        <v>48.360294117647058</v>
      </c>
      <c r="C38" s="8">
        <v>3.4794392523364466</v>
      </c>
    </row>
  </sheetData>
  <sheetProtection algorithmName="SHA-512" hashValue="4JpJ5QP7kLUOUGoHXApAX5O7H1AYS2bklvLBeXt2TZiEl/Z9UQujMPnkgbmWN4Ww83THjddPMugerdFKlMxkGA==" saltValue="xlUbHKS+LnDbpxjx1Awx8g==" spinCount="100000" sheet="1" objects="1" scenarios="1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3078-8E07-4D06-AD07-2070AA037AF3}">
  <dimension ref="A1:AD37"/>
  <sheetViews>
    <sheetView tabSelected="1" zoomScale="86" zoomScaleNormal="86" workbookViewId="0">
      <selection activeCell="AC6" sqref="AC6"/>
    </sheetView>
  </sheetViews>
  <sheetFormatPr defaultRowHeight="15" x14ac:dyDescent="0.25"/>
  <cols>
    <col min="1" max="5" width="9.140625" style="11"/>
    <col min="6" max="6" width="9.140625" style="11" customWidth="1"/>
    <col min="7" max="16384" width="9.140625" style="11"/>
  </cols>
  <sheetData>
    <row r="1" spans="1:30" x14ac:dyDescent="0.25">
      <c r="A1" s="17" t="s">
        <v>1679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29" spans="4:27" x14ac:dyDescent="0.25">
      <c r="D29" s="30" t="s">
        <v>1688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4:27" x14ac:dyDescent="0.25"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2" spans="4:27" ht="15.75" thickBot="1" x14ac:dyDescent="0.3">
      <c r="D32" s="16" t="s">
        <v>1650</v>
      </c>
      <c r="E32" s="16"/>
      <c r="F32" s="21" t="s">
        <v>1682</v>
      </c>
      <c r="G32" s="21"/>
      <c r="H32" s="21"/>
      <c r="I32" s="20" t="s">
        <v>1683</v>
      </c>
      <c r="J32" s="20"/>
      <c r="K32" s="20"/>
      <c r="L32" s="21" t="s">
        <v>1684</v>
      </c>
      <c r="M32" s="21"/>
      <c r="N32" s="21"/>
      <c r="O32" s="16" t="s">
        <v>1685</v>
      </c>
      <c r="P32" s="16"/>
      <c r="Q32" s="16" t="s">
        <v>1686</v>
      </c>
      <c r="R32" s="16"/>
      <c r="S32" s="16" t="s">
        <v>1687</v>
      </c>
      <c r="T32" s="16"/>
      <c r="U32" s="16" t="s">
        <v>1689</v>
      </c>
      <c r="V32" s="16"/>
      <c r="W32" s="16"/>
      <c r="X32" s="16"/>
      <c r="Y32" s="16" t="s">
        <v>1656</v>
      </c>
      <c r="Z32" s="16"/>
      <c r="AA32" s="16"/>
    </row>
    <row r="33" spans="4:27" x14ac:dyDescent="0.25">
      <c r="D33" s="32" t="str">
        <f>Dashboard_Calculator!A2</f>
        <v>Cardiology</v>
      </c>
      <c r="E33" s="32"/>
      <c r="F33" s="24">
        <f>Dashboard_Calculator!B2</f>
        <v>42.856000000000002</v>
      </c>
      <c r="G33" s="25"/>
      <c r="H33" s="25"/>
      <c r="I33" s="24">
        <f>Dashboard_Calculator!C2</f>
        <v>43.616</v>
      </c>
      <c r="J33" s="25"/>
      <c r="K33" s="25"/>
      <c r="L33" s="24">
        <f>Dashboard_Calculator!D2</f>
        <v>3.6214953271028043</v>
      </c>
      <c r="M33" s="25"/>
      <c r="N33" s="25"/>
      <c r="O33" s="24">
        <f>Dashboard_Calculator!E2</f>
        <v>-0.17850467289719552</v>
      </c>
      <c r="P33" s="25"/>
      <c r="Q33" s="27">
        <f>Dashboard_Calculator!F2</f>
        <v>1763.0101639344266</v>
      </c>
      <c r="R33" s="27"/>
      <c r="S33" s="27">
        <f>Dashboard_Calculator!G2</f>
        <v>1800</v>
      </c>
      <c r="T33" s="27"/>
      <c r="U33" s="27">
        <f>Dashboard_Calculator!H2</f>
        <v>-36.9898360655734</v>
      </c>
      <c r="V33" s="27"/>
      <c r="W33" s="27"/>
      <c r="X33" s="27"/>
      <c r="Y33" s="28">
        <f>Dashboard_Calculator!I2</f>
        <v>8.7999999999999995E-2</v>
      </c>
      <c r="Z33" s="25"/>
      <c r="AA33" s="25"/>
    </row>
    <row r="34" spans="4:27" x14ac:dyDescent="0.25">
      <c r="D34" s="15" t="str">
        <f>Dashboard_Calculator!A3</f>
        <v>Emergency</v>
      </c>
      <c r="E34" s="15"/>
      <c r="F34" s="22">
        <f>Dashboard_Calculator!B3</f>
        <v>55.215873015873015</v>
      </c>
      <c r="G34" s="23"/>
      <c r="H34" s="23"/>
      <c r="I34" s="22">
        <f>Dashboard_Calculator!C3</f>
        <v>39.793650793650791</v>
      </c>
      <c r="J34" s="23"/>
      <c r="K34" s="23"/>
      <c r="L34" s="22">
        <f>Dashboard_Calculator!D3</f>
        <v>3.4729824561403499</v>
      </c>
      <c r="M34" s="23"/>
      <c r="N34" s="23"/>
      <c r="O34" s="22">
        <f>Dashboard_Calculator!E3</f>
        <v>-0.32701754385964987</v>
      </c>
      <c r="P34" s="23"/>
      <c r="Q34" s="26">
        <f>Dashboard_Calculator!F3</f>
        <v>852.69322580645132</v>
      </c>
      <c r="R34" s="26"/>
      <c r="S34" s="26">
        <f>Dashboard_Calculator!G3</f>
        <v>850</v>
      </c>
      <c r="T34" s="26"/>
      <c r="U34" s="26">
        <f>Dashboard_Calculator!H3</f>
        <v>2.6932258064513235</v>
      </c>
      <c r="V34" s="26"/>
      <c r="W34" s="26"/>
      <c r="X34" s="26"/>
      <c r="Y34" s="29">
        <f>Dashboard_Calculator!I3</f>
        <v>8.8888888888888892E-2</v>
      </c>
      <c r="Z34" s="23"/>
      <c r="AA34" s="23"/>
    </row>
    <row r="35" spans="4:27" x14ac:dyDescent="0.25">
      <c r="D35" s="15" t="str">
        <f>Dashboard_Calculator!A4</f>
        <v>General Surgery</v>
      </c>
      <c r="E35" s="15"/>
      <c r="F35" s="22">
        <f>Dashboard_Calculator!B4</f>
        <v>69.574803149606296</v>
      </c>
      <c r="G35" s="23"/>
      <c r="H35" s="23"/>
      <c r="I35" s="22">
        <f>Dashboard_Calculator!C4</f>
        <v>89.4015748031496</v>
      </c>
      <c r="J35" s="23"/>
      <c r="K35" s="23"/>
      <c r="L35" s="22">
        <f>Dashboard_Calculator!D4</f>
        <v>3.2139344262295073</v>
      </c>
      <c r="M35" s="23"/>
      <c r="N35" s="23"/>
      <c r="O35" s="22">
        <f>Dashboard_Calculator!E4</f>
        <v>-0.58606557377049251</v>
      </c>
      <c r="P35" s="23"/>
      <c r="Q35" s="26">
        <f>Dashboard_Calculator!F4</f>
        <v>3239.217119999998</v>
      </c>
      <c r="R35" s="26"/>
      <c r="S35" s="26">
        <f>Dashboard_Calculator!G4</f>
        <v>3200</v>
      </c>
      <c r="T35" s="26"/>
      <c r="U35" s="26">
        <f>Dashboard_Calculator!H4</f>
        <v>39.217119999997976</v>
      </c>
      <c r="V35" s="26"/>
      <c r="W35" s="26"/>
      <c r="X35" s="26"/>
      <c r="Y35" s="29">
        <f>Dashboard_Calculator!I4</f>
        <v>0.11023622047244094</v>
      </c>
      <c r="Z35" s="23"/>
      <c r="AA35" s="23"/>
    </row>
    <row r="36" spans="4:27" x14ac:dyDescent="0.25">
      <c r="D36" s="15" t="str">
        <f>Dashboard_Calculator!A5</f>
        <v>Orthopedics</v>
      </c>
      <c r="E36" s="15"/>
      <c r="F36" s="22">
        <f>Dashboard_Calculator!B5</f>
        <v>64.090090090090087</v>
      </c>
      <c r="G36" s="23"/>
      <c r="H36" s="23"/>
      <c r="I36" s="22">
        <f>Dashboard_Calculator!C5</f>
        <v>40.252252252252255</v>
      </c>
      <c r="J36" s="23"/>
      <c r="K36" s="23"/>
      <c r="L36" s="22">
        <f>Dashboard_Calculator!D5</f>
        <v>3.3056603773584907</v>
      </c>
      <c r="M36" s="23"/>
      <c r="N36" s="23"/>
      <c r="O36" s="22">
        <f>Dashboard_Calculator!E5</f>
        <v>-0.4943396226415091</v>
      </c>
      <c r="P36" s="23"/>
      <c r="Q36" s="26">
        <f>Dashboard_Calculator!F5</f>
        <v>1507.6381481481485</v>
      </c>
      <c r="R36" s="26"/>
      <c r="S36" s="26">
        <f>Dashboard_Calculator!G5</f>
        <v>1500</v>
      </c>
      <c r="T36" s="26"/>
      <c r="U36" s="26">
        <f>Dashboard_Calculator!H5</f>
        <v>7.6381481481485025</v>
      </c>
      <c r="V36" s="26"/>
      <c r="W36" s="26"/>
      <c r="X36" s="26"/>
      <c r="Y36" s="29">
        <f>Dashboard_Calculator!I5</f>
        <v>9.0090090090090086E-2</v>
      </c>
      <c r="Z36" s="23"/>
      <c r="AA36" s="23"/>
    </row>
    <row r="37" spans="4:27" x14ac:dyDescent="0.25">
      <c r="D37" s="15" t="str">
        <f>Dashboard_Calculator!A6</f>
        <v>Pediatrics</v>
      </c>
      <c r="E37" s="15"/>
      <c r="F37" s="22">
        <f>Dashboard_Calculator!B6</f>
        <v>38.333333333333336</v>
      </c>
      <c r="G37" s="23"/>
      <c r="H37" s="23"/>
      <c r="I37" s="22">
        <f>Dashboard_Calculator!C6</f>
        <v>40.963768115942031</v>
      </c>
      <c r="J37" s="23"/>
      <c r="K37" s="23"/>
      <c r="L37" s="22">
        <f>Dashboard_Calculator!D6</f>
        <v>3.7697674418604645</v>
      </c>
      <c r="M37" s="23"/>
      <c r="N37" s="23"/>
      <c r="O37" s="22">
        <f>Dashboard_Calculator!E6</f>
        <v>-3.0232558139535293E-2</v>
      </c>
      <c r="P37" s="23"/>
      <c r="Q37" s="26">
        <f>Dashboard_Calculator!F6</f>
        <v>697.87678832116785</v>
      </c>
      <c r="R37" s="26"/>
      <c r="S37" s="26">
        <f>Dashboard_Calculator!G6</f>
        <v>700</v>
      </c>
      <c r="T37" s="26"/>
      <c r="U37" s="26">
        <f>Dashboard_Calculator!H6</f>
        <v>-2.1232116788321491</v>
      </c>
      <c r="V37" s="26"/>
      <c r="W37" s="26"/>
      <c r="X37" s="26"/>
      <c r="Y37" s="29">
        <f>Dashboard_Calculator!I6</f>
        <v>0.12318840579710146</v>
      </c>
      <c r="Z37" s="23"/>
      <c r="AA37" s="23"/>
    </row>
  </sheetData>
  <sheetProtection algorithmName="SHA-512" hashValue="+Ddbl7/VHB3ilzOKYdQovhgGJU9hn2R+3a/FfklZgigCub7j+nhXvYs0+GMBXIeRfb2X5CJSd0/dGMdk7pJVhA==" saltValue="mJPVsy++60Q1MixO6YgcQA==" spinCount="100000" sheet="1" objects="1" scenarios="1"/>
  <mergeCells count="56">
    <mergeCell ref="D29:AA30"/>
    <mergeCell ref="U33:X33"/>
    <mergeCell ref="U34:X34"/>
    <mergeCell ref="U35:X35"/>
    <mergeCell ref="U36:X36"/>
    <mergeCell ref="Q34:R34"/>
    <mergeCell ref="Q35:R35"/>
    <mergeCell ref="Q36:R36"/>
    <mergeCell ref="L36:N36"/>
    <mergeCell ref="F36:H36"/>
    <mergeCell ref="D33:E33"/>
    <mergeCell ref="D34:E34"/>
    <mergeCell ref="D35:E35"/>
    <mergeCell ref="D36:E36"/>
    <mergeCell ref="U37:X37"/>
    <mergeCell ref="Y33:AA33"/>
    <mergeCell ref="Y34:AA34"/>
    <mergeCell ref="Y35:AA35"/>
    <mergeCell ref="Y36:AA36"/>
    <mergeCell ref="Y37:AA37"/>
    <mergeCell ref="Q37:R37"/>
    <mergeCell ref="S33:T33"/>
    <mergeCell ref="S34:T34"/>
    <mergeCell ref="S35:T35"/>
    <mergeCell ref="S36:T36"/>
    <mergeCell ref="S37:T37"/>
    <mergeCell ref="Q33:R33"/>
    <mergeCell ref="O33:P33"/>
    <mergeCell ref="O34:P34"/>
    <mergeCell ref="O35:P35"/>
    <mergeCell ref="O36:P36"/>
    <mergeCell ref="O37:P37"/>
    <mergeCell ref="I37:K37"/>
    <mergeCell ref="F33:H33"/>
    <mergeCell ref="F34:H34"/>
    <mergeCell ref="F35:H35"/>
    <mergeCell ref="L37:N37"/>
    <mergeCell ref="L33:N33"/>
    <mergeCell ref="L34:N34"/>
    <mergeCell ref="L35:N35"/>
    <mergeCell ref="D37:E37"/>
    <mergeCell ref="Y32:AA32"/>
    <mergeCell ref="U32:X32"/>
    <mergeCell ref="A1:AD2"/>
    <mergeCell ref="D32:E32"/>
    <mergeCell ref="I32:K32"/>
    <mergeCell ref="L32:N32"/>
    <mergeCell ref="F32:H32"/>
    <mergeCell ref="O32:P32"/>
    <mergeCell ref="Q32:R32"/>
    <mergeCell ref="S32:T32"/>
    <mergeCell ref="F37:H37"/>
    <mergeCell ref="I33:K33"/>
    <mergeCell ref="I34:K34"/>
    <mergeCell ref="I35:K35"/>
    <mergeCell ref="I36:K36"/>
  </mergeCells>
  <conditionalFormatting sqref="L33:N37">
    <cfRule type="aboveAverage" dxfId="6" priority="7" aboveAverage="0"/>
    <cfRule type="aboveAverage" dxfId="5" priority="8" equalAverage="1"/>
  </conditionalFormatting>
  <conditionalFormatting sqref="O33:P37">
    <cfRule type="aboveAverage" dxfId="4" priority="6" aboveAverage="0"/>
  </conditionalFormatting>
  <conditionalFormatting sqref="U33:X37">
    <cfRule type="aboveAverage" dxfId="3" priority="3" equalAverage="1"/>
    <cfRule type="aboveAverage" dxfId="2" priority="5" aboveAverage="0"/>
  </conditionalFormatting>
  <conditionalFormatting sqref="F33:H37">
    <cfRule type="aboveAverage" dxfId="0" priority="2" aboveAverage="0"/>
    <cfRule type="aboveAverage" dxfId="1" priority="1"/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6E3FB81-7468-46A2-BB6F-FE4CBD84B0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Dashboard!Q33:T33</xm:f>
              <xm:sqref>U33</xm:sqref>
            </x14:sparkline>
            <x14:sparkline>
              <xm:f>Dashboard!Q34:T34</xm:f>
              <xm:sqref>U34</xm:sqref>
            </x14:sparkline>
            <x14:sparkline>
              <xm:f>Dashboard!Q35:T35</xm:f>
              <xm:sqref>U35</xm:sqref>
            </x14:sparkline>
            <x14:sparkline>
              <xm:f>Dashboard!Q36:T36</xm:f>
              <xm:sqref>U36</xm:sqref>
            </x14:sparkline>
            <x14:sparkline>
              <xm:f>Dashboard!Q37:T37</xm:f>
              <xm:sqref>U37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851571B3-86DD-4845-B0D2-8A92A56D7E8A}">
  <ds:schemaRefs/>
</ds:datastoreItem>
</file>

<file path=customXml/itemProps2.xml><?xml version="1.0" encoding="utf-8"?>
<ds:datastoreItem xmlns:ds="http://schemas.openxmlformats.org/officeDocument/2006/customXml" ds:itemID="{0504B4E8-6E7F-41EF-A51B-9F395CC220BE}">
  <ds:schemaRefs/>
</ds:datastoreItem>
</file>

<file path=customXml/itemProps3.xml><?xml version="1.0" encoding="utf-8"?>
<ds:datastoreItem xmlns:ds="http://schemas.openxmlformats.org/officeDocument/2006/customXml" ds:itemID="{ACFC976E-91C0-4E30-8F29-A9B9089CE04D}">
  <ds:schemaRefs/>
</ds:datastoreItem>
</file>

<file path=customXml/itemProps4.xml><?xml version="1.0" encoding="utf-8"?>
<ds:datastoreItem xmlns:ds="http://schemas.openxmlformats.org/officeDocument/2006/customXml" ds:itemID="{C7CD6C0D-0332-4FFF-96FF-10E8E62B2DD3}">
  <ds:schemaRefs/>
</ds:datastoreItem>
</file>

<file path=customXml/itemProps5.xml><?xml version="1.0" encoding="utf-8"?>
<ds:datastoreItem xmlns:ds="http://schemas.openxmlformats.org/officeDocument/2006/customXml" ds:itemID="{0026F9EA-95F9-412A-88A1-CC6E94CFF368}">
  <ds:schemaRefs/>
</ds:datastoreItem>
</file>

<file path=customXml/itemProps6.xml><?xml version="1.0" encoding="utf-8"?>
<ds:datastoreItem xmlns:ds="http://schemas.openxmlformats.org/officeDocument/2006/customXml" ds:itemID="{C8B7B988-A661-4CA2-B728-2454554D6F22}">
  <ds:schemaRefs/>
</ds:datastoreItem>
</file>

<file path=customXml/itemProps7.xml><?xml version="1.0" encoding="utf-8"?>
<ds:datastoreItem xmlns:ds="http://schemas.openxmlformats.org/officeDocument/2006/customXml" ds:itemID="{D58FE305-3B7A-4B43-80DD-9C62F4BF1AC4}">
  <ds:schemaRefs/>
</ds:datastoreItem>
</file>

<file path=customXml/itemProps8.xml><?xml version="1.0" encoding="utf-8"?>
<ds:datastoreItem xmlns:ds="http://schemas.openxmlformats.org/officeDocument/2006/customXml" ds:itemID="{BED59D07-4E02-40D2-875E-AFDF043DCB97}">
  <ds:schemaRefs/>
</ds:datastoreItem>
</file>

<file path=customXml/itemProps9.xml><?xml version="1.0" encoding="utf-8"?>
<ds:datastoreItem xmlns:ds="http://schemas.openxmlformats.org/officeDocument/2006/customXml" ds:itemID="{67B92320-1C04-42DE-BEEE-D7D28B36AB60}">
  <ds:schemaRefs/>
</ds:datastoreItem>
</file>

<file path=customXml/itemProps10.xml><?xml version="1.0" encoding="utf-8"?>
<ds:datastoreItem xmlns:ds="http://schemas.openxmlformats.org/officeDocument/2006/customXml" ds:itemID="{A40E4341-C3D0-4C2B-AD45-ADE8F6641B9A}">
  <ds:schemaRefs/>
</ds:datastoreItem>
</file>

<file path=customXml/itemProps11.xml><?xml version="1.0" encoding="utf-8"?>
<ds:datastoreItem xmlns:ds="http://schemas.openxmlformats.org/officeDocument/2006/customXml" ds:itemID="{079B14AF-8905-460F-BF99-F3431D96E188}">
  <ds:schemaRefs/>
</ds:datastoreItem>
</file>

<file path=customXml/itemProps12.xml><?xml version="1.0" encoding="utf-8"?>
<ds:datastoreItem xmlns:ds="http://schemas.openxmlformats.org/officeDocument/2006/customXml" ds:itemID="{550D635F-1760-46AA-828A-6274F98AAC93}">
  <ds:schemaRefs/>
</ds:datastoreItem>
</file>

<file path=customXml/itemProps13.xml><?xml version="1.0" encoding="utf-8"?>
<ds:datastoreItem xmlns:ds="http://schemas.openxmlformats.org/officeDocument/2006/customXml" ds:itemID="{27566EB1-104C-4E95-A007-DDB0192F7C57}">
  <ds:schemaRefs/>
</ds:datastoreItem>
</file>

<file path=customXml/itemProps14.xml><?xml version="1.0" encoding="utf-8"?>
<ds:datastoreItem xmlns:ds="http://schemas.openxmlformats.org/officeDocument/2006/customXml" ds:itemID="{0F8682B5-738A-41AC-A12F-ED6EC4CA861D}">
  <ds:schemaRefs/>
</ds:datastoreItem>
</file>

<file path=customXml/itemProps15.xml><?xml version="1.0" encoding="utf-8"?>
<ds:datastoreItem xmlns:ds="http://schemas.openxmlformats.org/officeDocument/2006/customXml" ds:itemID="{CFF8EA36-B4B2-4511-8D25-A9CE676AF026}">
  <ds:schemaRefs/>
</ds:datastoreItem>
</file>

<file path=customXml/itemProps16.xml><?xml version="1.0" encoding="utf-8"?>
<ds:datastoreItem xmlns:ds="http://schemas.openxmlformats.org/officeDocument/2006/customXml" ds:itemID="{F959F025-D2A9-46DB-9B4F-8D7D98225D0C}">
  <ds:schemaRefs/>
</ds:datastoreItem>
</file>

<file path=customXml/itemProps17.xml><?xml version="1.0" encoding="utf-8"?>
<ds:datastoreItem xmlns:ds="http://schemas.openxmlformats.org/officeDocument/2006/customXml" ds:itemID="{0BD32715-8FFC-4B95-AA93-BA9C455D30FD}">
  <ds:schemaRefs/>
</ds:datastoreItem>
</file>

<file path=customXml/itemProps18.xml><?xml version="1.0" encoding="utf-8"?>
<ds:datastoreItem xmlns:ds="http://schemas.openxmlformats.org/officeDocument/2006/customXml" ds:itemID="{040AEDA4-7B28-4944-9EF3-AC8D20FC1148}">
  <ds:schemaRefs/>
</ds:datastoreItem>
</file>

<file path=customXml/itemProps19.xml><?xml version="1.0" encoding="utf-8"?>
<ds:datastoreItem xmlns:ds="http://schemas.openxmlformats.org/officeDocument/2006/customXml" ds:itemID="{C929F0EA-F49E-4858-AEB7-46E8FCE0658E}">
  <ds:schemaRefs/>
</ds:datastoreItem>
</file>

<file path=customXml/itemProps20.xml><?xml version="1.0" encoding="utf-8"?>
<ds:datastoreItem xmlns:ds="http://schemas.openxmlformats.org/officeDocument/2006/customXml" ds:itemID="{BFB4F21A-E1DB-495C-9A8B-B6A01B25E0A4}">
  <ds:schemaRefs/>
</ds:datastoreItem>
</file>

<file path=customXml/itemProps21.xml><?xml version="1.0" encoding="utf-8"?>
<ds:datastoreItem xmlns:ds="http://schemas.openxmlformats.org/officeDocument/2006/customXml" ds:itemID="{224D1ADA-0CA6-4EF8-8F04-B504C6E5691E}">
  <ds:schemaRefs/>
</ds:datastoreItem>
</file>

<file path=customXml/itemProps22.xml><?xml version="1.0" encoding="utf-8"?>
<ds:datastoreItem xmlns:ds="http://schemas.openxmlformats.org/officeDocument/2006/customXml" ds:itemID="{2251C2DF-DEB3-4D0A-A4C6-266690DEFAEF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3BBE43D5-1B92-47F0-B5CE-F0C78E4150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Department_Reference</vt:lpstr>
      <vt:lpstr>Daily_Staffing_Log</vt:lpstr>
      <vt:lpstr>Patient_Satisfaction_Data</vt:lpstr>
      <vt:lpstr>Dashboard_Calculator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Turner</dc:creator>
  <cp:lastModifiedBy>Solomon Turner</cp:lastModifiedBy>
  <dcterms:created xsi:type="dcterms:W3CDTF">2026-07-15T03:37:31Z</dcterms:created>
  <dcterms:modified xsi:type="dcterms:W3CDTF">2026-07-22T20:12:48Z</dcterms:modified>
</cp:coreProperties>
</file>